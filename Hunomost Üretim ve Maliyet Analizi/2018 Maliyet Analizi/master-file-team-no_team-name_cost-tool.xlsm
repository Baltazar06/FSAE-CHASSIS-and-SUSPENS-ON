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CASPER\Desktop\Şamil Hacettepe Üniversitesi\Hunomost Üretim ve Maliyet Analizi\2018 Maliyet Analizi\"/>
    </mc:Choice>
  </mc:AlternateContent>
  <xr:revisionPtr revIDLastSave="0" documentId="13_ncr:1_{A29FC329-D2C5-4E02-9D44-E3907BD50D95}" xr6:coauthVersionLast="31" xr6:coauthVersionMax="31" xr10:uidLastSave="{00000000-0000-0000-0000-000000000000}"/>
  <bookViews>
    <workbookView xWindow="0" yWindow="0" windowWidth="15345" windowHeight="4500" activeTab="1" xr2:uid="{00000000-000D-0000-FFFF-FFFF00000000}"/>
  </bookViews>
  <sheets>
    <sheet name="Car" sheetId="4" r:id="rId1"/>
    <sheet name="BOM" sheetId="1" r:id="rId2"/>
    <sheet name="Guidelines" sheetId="13" r:id="rId3"/>
    <sheet name="Macros" sheetId="14" r:id="rId4"/>
    <sheet name="Entry" sheetId="7" state="veryHidden" r:id="rId5"/>
    <sheet name="DB" sheetId="2" state="veryHidden" r:id="rId6"/>
    <sheet name="Data" sheetId="10" state="veryHidden" r:id="rId7"/>
    <sheet name="Coding" sheetId="12" state="veryHidden" r:id="rId8"/>
    <sheet name="Bugs" sheetId="15" state="veryHidden" r:id="rId9"/>
    <sheet name="Example" sheetId="16" r:id="rId10"/>
  </sheets>
  <functionGroups builtInGroupCount="19"/>
  <definedNames>
    <definedName name="CarNo">Car!$H$2</definedName>
    <definedName name="Systems">DB!$C$3:$C$10</definedName>
  </definedNames>
  <calcPr calcId="179017"/>
</workbook>
</file>

<file path=xl/calcChain.xml><?xml version="1.0" encoding="utf-8"?>
<calcChain xmlns="http://schemas.openxmlformats.org/spreadsheetml/2006/main">
  <c r="L3" i="16" l="1"/>
  <c r="K10" i="1" l="1"/>
  <c r="K6" i="1" l="1"/>
  <c r="K27" i="1"/>
  <c r="K25" i="1"/>
  <c r="K14" i="1"/>
  <c r="K12" i="1"/>
  <c r="K8" i="1"/>
  <c r="A10" i="15" l="1"/>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3" i="15"/>
  <c r="A4" i="15" s="1"/>
  <c r="A5" i="15" s="1"/>
  <c r="A6" i="15" s="1"/>
  <c r="A7" i="15" s="1"/>
  <c r="A8" i="15" s="1"/>
  <c r="A9" i="15" s="1"/>
  <c r="K4" i="1" l="1"/>
  <c r="E11" i="2" l="1"/>
  <c r="D11" i="2"/>
  <c r="D10" i="2"/>
  <c r="D9" i="2"/>
  <c r="D8" i="2"/>
  <c r="D7" i="2"/>
  <c r="D6" i="2"/>
  <c r="D5" i="2"/>
  <c r="D4" i="2"/>
  <c r="D3" i="2"/>
  <c r="E10" i="2" l="1"/>
  <c r="E9" i="2"/>
  <c r="E8" i="2"/>
  <c r="E7" i="2"/>
  <c r="E6" i="2"/>
  <c r="E5" i="2"/>
  <c r="E4" i="2"/>
  <c r="E3" i="2"/>
</calcChain>
</file>

<file path=xl/sharedStrings.xml><?xml version="1.0" encoding="utf-8"?>
<sst xmlns="http://schemas.openxmlformats.org/spreadsheetml/2006/main" count="1664" uniqueCount="1344">
  <si>
    <t>System</t>
  </si>
  <si>
    <t>Assembly</t>
  </si>
  <si>
    <t>Part</t>
  </si>
  <si>
    <t>Make/Buy</t>
  </si>
  <si>
    <t>Comments</t>
  </si>
  <si>
    <t>Qt</t>
  </si>
  <si>
    <t>Cost [Calculated]</t>
  </si>
  <si>
    <t>Cost Comments</t>
  </si>
  <si>
    <t>ID</t>
  </si>
  <si>
    <t>SU</t>
  </si>
  <si>
    <t>P/M/F/T</t>
  </si>
  <si>
    <t>BR</t>
  </si>
  <si>
    <t>EN</t>
  </si>
  <si>
    <t>FR</t>
  </si>
  <si>
    <t>EL</t>
  </si>
  <si>
    <t>MS</t>
  </si>
  <si>
    <t>ST</t>
  </si>
  <si>
    <t>BRAKES</t>
  </si>
  <si>
    <t>ELECTRICAL</t>
  </si>
  <si>
    <t>Brake Discs</t>
  </si>
  <si>
    <t>Pedals</t>
  </si>
  <si>
    <t>Shifter</t>
  </si>
  <si>
    <t>Springs</t>
  </si>
  <si>
    <t>Radiator</t>
  </si>
  <si>
    <t>Mounts Integral to Frame</t>
  </si>
  <si>
    <t>Fasteners</t>
  </si>
  <si>
    <t>Tie Rods</t>
  </si>
  <si>
    <t>Air Filter</t>
  </si>
  <si>
    <t>Carburetor</t>
  </si>
  <si>
    <t>Fuel Filter</t>
  </si>
  <si>
    <t>WT</t>
  </si>
  <si>
    <t>Systems</t>
  </si>
  <si>
    <t>Assemblies</t>
  </si>
  <si>
    <t>System Code</t>
  </si>
  <si>
    <t>ENGINE &amp; DRIVETRAIN</t>
  </si>
  <si>
    <t>MISCELLANEOUS, FIT, FINISH &amp; ASSEMBLY</t>
  </si>
  <si>
    <t>STEERING SYSTEM</t>
  </si>
  <si>
    <t>SUSPENSION SYSTEM</t>
  </si>
  <si>
    <t>WHEELS, WHEEL BEARINGS AND TIRES</t>
  </si>
  <si>
    <t>DRIVERLESS</t>
  </si>
  <si>
    <t>DV</t>
  </si>
  <si>
    <t>Balance Bar</t>
  </si>
  <si>
    <t>Brake Fluid</t>
  </si>
  <si>
    <t>Brake Lines</t>
  </si>
  <si>
    <t>Brake Master Cylinder</t>
  </si>
  <si>
    <t>Brake Pads</t>
  </si>
  <si>
    <t>Calipers</t>
  </si>
  <si>
    <t>Proportioning Valve</t>
  </si>
  <si>
    <t>Axles</t>
  </si>
  <si>
    <t>CV Joints/U Joints</t>
  </si>
  <si>
    <t>Chain/ Belt</t>
  </si>
  <si>
    <t>Coolant</t>
  </si>
  <si>
    <t>Coolant Lines</t>
  </si>
  <si>
    <t>Differential</t>
  </si>
  <si>
    <t>Differential Bearings</t>
  </si>
  <si>
    <t>Differential Mounts</t>
  </si>
  <si>
    <t>Engine/Diff Oil</t>
  </si>
  <si>
    <t>Exhaust Manifold</t>
  </si>
  <si>
    <t>Fuel Injectors</t>
  </si>
  <si>
    <t>Fuel Lines/Rails</t>
  </si>
  <si>
    <t>Fuel Pressure Reg.</t>
  </si>
  <si>
    <t>Fuel Pump</t>
  </si>
  <si>
    <t>Fuel Tank  - NOT the HV Battery</t>
  </si>
  <si>
    <t>Fuel Vent /Check Valve</t>
  </si>
  <si>
    <t>Hose Clamps</t>
  </si>
  <si>
    <t>Intake Manifold</t>
  </si>
  <si>
    <t>Muffler</t>
  </si>
  <si>
    <t>Oil Cooler</t>
  </si>
  <si>
    <t>Overflow Bottles</t>
  </si>
  <si>
    <t>Radiator Fans</t>
  </si>
  <si>
    <t>Restrictor</t>
  </si>
  <si>
    <t>Shields</t>
  </si>
  <si>
    <t>Sprocket/Pulleys</t>
  </si>
  <si>
    <t>Throttle Body</t>
  </si>
  <si>
    <t>Turbo/Super Charger</t>
  </si>
  <si>
    <t>Aerodynamic Wing</t>
  </si>
  <si>
    <t>Body Attachments</t>
  </si>
  <si>
    <t>Body Material</t>
  </si>
  <si>
    <t>Body Processing</t>
  </si>
  <si>
    <t>Clutch</t>
  </si>
  <si>
    <t>Floor Pan</t>
  </si>
  <si>
    <t>Frame/Frame Tubes</t>
  </si>
  <si>
    <t>Shifter Cable/Linkage</t>
  </si>
  <si>
    <t>Throttle Controls</t>
  </si>
  <si>
    <t>Tube End Preps</t>
  </si>
  <si>
    <t>Tube Cuts/Bends</t>
  </si>
  <si>
    <t>Brake Light</t>
  </si>
  <si>
    <t>Bulbs</t>
  </si>
  <si>
    <t>Dash Panel</t>
  </si>
  <si>
    <t>ECM/ Engine Electronics</t>
  </si>
  <si>
    <t>Fuses</t>
  </si>
  <si>
    <t>HV-Battery</t>
  </si>
  <si>
    <t>Indicator Lights</t>
  </si>
  <si>
    <t>Kill Switch</t>
  </si>
  <si>
    <t>LV-Battery</t>
  </si>
  <si>
    <t>Oil Pressure Gage/Light</t>
  </si>
  <si>
    <t>Relays</t>
  </si>
  <si>
    <t>Solenoids</t>
  </si>
  <si>
    <t>Starter Button</t>
  </si>
  <si>
    <t>Tachometer</t>
  </si>
  <si>
    <t>Water Temperature Gage</t>
  </si>
  <si>
    <t>Wire Harness/Connectors</t>
  </si>
  <si>
    <t>Driver's Harness</t>
  </si>
  <si>
    <t>Fire Wall</t>
  </si>
  <si>
    <t>Headrest/Restraints</t>
  </si>
  <si>
    <t>Mirrors</t>
  </si>
  <si>
    <t>Paint-Body</t>
  </si>
  <si>
    <t>Paint-Frame</t>
  </si>
  <si>
    <t>Seats</t>
  </si>
  <si>
    <t>Steering Rack</t>
  </si>
  <si>
    <t>Steering Shaft</t>
  </si>
  <si>
    <t>Steering Wheel</t>
  </si>
  <si>
    <t>Steering Wheel Quick Release</t>
  </si>
  <si>
    <t>Bell Cranks</t>
  </si>
  <si>
    <t>Front A/Arms or Equivalent</t>
  </si>
  <si>
    <t>Front Uprights</t>
  </si>
  <si>
    <t>Pushrods/Pullrods</t>
  </si>
  <si>
    <t>Rear A/Arms or Equivalent</t>
  </si>
  <si>
    <t>Rear Uprights</t>
  </si>
  <si>
    <t>Rod Ends</t>
  </si>
  <si>
    <t>Suspension Mechanism</t>
  </si>
  <si>
    <t>Shocks Front</t>
  </si>
  <si>
    <t>Front Hubs</t>
  </si>
  <si>
    <t>Lug Nuts</t>
  </si>
  <si>
    <t>Rear Hubs</t>
  </si>
  <si>
    <t>Tires</t>
  </si>
  <si>
    <t>Valve Stems</t>
  </si>
  <si>
    <t>Wheel Bearings</t>
  </si>
  <si>
    <t>Wheel Studs</t>
  </si>
  <si>
    <t>Wheel Weights</t>
  </si>
  <si>
    <t xml:space="preserve">Wheels </t>
  </si>
  <si>
    <t>MIN</t>
  </si>
  <si>
    <t>MAX</t>
  </si>
  <si>
    <t>FRAM &amp; BODY</t>
  </si>
  <si>
    <t>Car No</t>
  </si>
  <si>
    <t>University</t>
  </si>
  <si>
    <t>Team Name</t>
  </si>
  <si>
    <t>Bearing Ball, Steel</t>
  </si>
  <si>
    <t>Bearing, Ball, Angular Contact</t>
  </si>
  <si>
    <t>Bearing, Ball, Deep Groove</t>
  </si>
  <si>
    <t>Bearing, Ball, Radial</t>
  </si>
  <si>
    <t>Bearing, Cylindrical Roller</t>
  </si>
  <si>
    <t>Bearing, Double Row, Ball, Angular Contact</t>
  </si>
  <si>
    <t>Bearing, Double Row, Ball, Deep Groove</t>
  </si>
  <si>
    <t>Bearing, Double Row, Ball, Radial</t>
  </si>
  <si>
    <t>Bearing, Linear, Closed</t>
  </si>
  <si>
    <t>Bearing, Linear, Open</t>
  </si>
  <si>
    <t>Bearing, Needle</t>
  </si>
  <si>
    <t>Fluid</t>
  </si>
  <si>
    <t>Bearing, Spherical</t>
  </si>
  <si>
    <t>Bearing, Tapered Needle</t>
  </si>
  <si>
    <t>Bearing, Tapered Roller</t>
  </si>
  <si>
    <t>Bearing, Thrust Needle Roller, Cage Assembly</t>
  </si>
  <si>
    <t>Bearing, Thrust Needle Roller, Washers</t>
  </si>
  <si>
    <t>Bushing, Student Built</t>
  </si>
  <si>
    <t>Rod End, Aluminum</t>
  </si>
  <si>
    <t>Rod End, Industrial</t>
  </si>
  <si>
    <t>Rod End, Suspension</t>
  </si>
  <si>
    <t>Wheel Bearing, Ball, Angular Contact</t>
  </si>
  <si>
    <t>Wheel Bearing, Ball, Deep Groove</t>
  </si>
  <si>
    <t>Wheel Bearing, Ball, Radial</t>
  </si>
  <si>
    <t>Wheel Bearing, Double Row, Ball, Angular Contact</t>
  </si>
  <si>
    <t>Wheel Bearing, Double Row, Ball, Deep Groove</t>
  </si>
  <si>
    <t>Wheel Bearing, Double Row, Ball, Radial</t>
  </si>
  <si>
    <t>Wheel Bearing, Tapered Needle</t>
  </si>
  <si>
    <t>Wheel Bearing, Tapered Roller</t>
  </si>
  <si>
    <t>90-Degree Coupler, Tilton 72-560</t>
  </si>
  <si>
    <t>90-Degree Coupler, Tilton 72-561</t>
  </si>
  <si>
    <t>90-Degree Coupler, Tilton 72-562</t>
  </si>
  <si>
    <t>ABS Kit, Bosch, M4 Kit 1</t>
  </si>
  <si>
    <t>ABS Kit, Bosch, M4 Kit 2</t>
  </si>
  <si>
    <t>ABS Kit and ESP Module, Bosch, ESP-9</t>
  </si>
  <si>
    <t>Balance Bar Cable Adjuster, Racetech, Any BBAxx series</t>
  </si>
  <si>
    <t>Balance Bar Cable Adjuster, Right Angle Drive, AP CP5500-10</t>
  </si>
  <si>
    <t>Balance Bar Cable Adjuster, Sandtler, 128154</t>
  </si>
  <si>
    <t>Balance Bar, AP, CP5500-9</t>
  </si>
  <si>
    <t>Balance Bar, AP, CP5520-4</t>
  </si>
  <si>
    <t>Balance Bar, Brake, Student Built</t>
  </si>
  <si>
    <t>Balance Bar, OBP,OBPCB010</t>
  </si>
  <si>
    <t>Balance Bar, Sandtler, 128153</t>
  </si>
  <si>
    <t>Balance Bar, Sandtler, 128154</t>
  </si>
  <si>
    <t xml:space="preserve">Balance Bar, Tilton, 72-250 </t>
  </si>
  <si>
    <t>Balance Bar, Tilton, 72-260</t>
  </si>
  <si>
    <t>Balance Bar, Tilton, 72-280</t>
  </si>
  <si>
    <t>Balance Bar, Tilton, 72-281</t>
  </si>
  <si>
    <t>Balance Bar, Tilton, 72-300</t>
  </si>
  <si>
    <t>Balance Bar, Timms Autoteile, 013 901</t>
  </si>
  <si>
    <t>Balance Bar, Wilwood, 340-4745</t>
  </si>
  <si>
    <t>Brake Caliper Piston, Student Built</t>
  </si>
  <si>
    <t>Brake Caliper,  Harrison, 121019P</t>
  </si>
  <si>
    <t>Brake Caliper, AP, CP2577</t>
  </si>
  <si>
    <t>Brake Caliper, AP, CP3696-6E0</t>
  </si>
  <si>
    <t>Brake Caliper, AP, CP4226</t>
  </si>
  <si>
    <t>Brake Caliper, AP, CP4227</t>
  </si>
  <si>
    <t>Brake Caliper, AP, CP4488</t>
  </si>
  <si>
    <t>Brake Caliper, AP, CP7003</t>
  </si>
  <si>
    <t>Brake Caliper, AP, CP7853</t>
  </si>
  <si>
    <t>Brake Caliper, Beringer, 2D1</t>
  </si>
  <si>
    <t>Brake Caliper, Beringer, 4H02</t>
  </si>
  <si>
    <t>Brake Caliper, Beringer, 4H12</t>
  </si>
  <si>
    <t>Brake Caliper, Brembo, 20.5161.46/P32F</t>
  </si>
  <si>
    <t>Brake Caliper, Brembo, 20.6001/P2-24</t>
  </si>
  <si>
    <t>Brake Caliper, Brembo, 20.6101/GP4-24</t>
  </si>
  <si>
    <t>Brake Caliper, Brembo, 20.6950.10</t>
  </si>
  <si>
    <t>Brake Caliper, Brembo, 20.6950.11/P32G</t>
  </si>
  <si>
    <t>Brake Caliper, Brembo, 20.6950.21/P32G</t>
  </si>
  <si>
    <t>Brake Caliper, Brembo, 20.6951.12/P34G</t>
  </si>
  <si>
    <t>Brake Caliper, Brembo, 20.6951.50/P34C</t>
  </si>
  <si>
    <t>Brake Caliper, Brembo, 20.6960.10/P30G</t>
  </si>
  <si>
    <t>Brake Caliper, Comet 650, Front</t>
  </si>
  <si>
    <t>Brake Caliper, Formula-Italy, MTC 350cc</t>
  </si>
  <si>
    <t>Brake Caliper, Harrison, 222004P</t>
  </si>
  <si>
    <t>Brake Caliper, Harrison, 222005P</t>
  </si>
  <si>
    <t>Brake Caliper, Honda,  45150-HP1-006</t>
  </si>
  <si>
    <t>Brake Caliper, Honda, 45150-HN6-006</t>
  </si>
  <si>
    <t>Brake Caliper, ISR, 22-028</t>
  </si>
  <si>
    <t>Brake Caliper, ISR, 22-034</t>
  </si>
  <si>
    <t>Brake Caliper, ISR, 22-036</t>
  </si>
  <si>
    <t>Brake Caliper, ISR, 22-048</t>
  </si>
  <si>
    <t>Brake Caliper, ISR, 22-049</t>
  </si>
  <si>
    <t>Brake Caliper, ISR, 22-050-OA</t>
  </si>
  <si>
    <t>Brake Caliper, Magura, 908.1</t>
  </si>
  <si>
    <t>Brake Caliper, Motorcycle, OEM (Any)</t>
  </si>
  <si>
    <t>Brake Caliper, NISSIN, 08-1CP-32-15</t>
  </si>
  <si>
    <t>Brake Caliper, NISSIN, 08-2CP-25-08</t>
  </si>
  <si>
    <t>Brake Caliper, NISSIN, 08-2CT-25-06</t>
  </si>
  <si>
    <t>Brake Caliper, NISSIN, 08-2CT-38-07</t>
  </si>
  <si>
    <t>Brake Caliper, Polaris, 1910825/1910826</t>
  </si>
  <si>
    <t>Brake Caliper, Pretech, P400</t>
  </si>
  <si>
    <t>Brake Caliper, PVM, 2-Piston Monoblock Radial Mount</t>
  </si>
  <si>
    <t>Brake Caliper, PVM, 6-piston Monoblock Radial Mount</t>
  </si>
  <si>
    <t>Brake Caliper, PVM, Front 4-Piston Monoblock Radial Mount</t>
  </si>
  <si>
    <t>Brake Caliper, PVM, Rear 4-Piston Monoblock Radial Mount</t>
  </si>
  <si>
    <t>Brake Caliper, Red Devil,240 Sprint</t>
  </si>
  <si>
    <t>Brake Caliper, Spiegler, S070</t>
  </si>
  <si>
    <t>Brake Caliper, Spiegler, S108</t>
  </si>
  <si>
    <t>Brake Caliper, Student Built</t>
  </si>
  <si>
    <t>Brake Caliper, Tokico, 45150-MEL-023</t>
  </si>
  <si>
    <t>Brake Caliper, Wilwood, Billet Dynalite Side Inlet 120-5081</t>
  </si>
  <si>
    <t>Brake Caliper, Wilwood, Billet Dynalite Single</t>
  </si>
  <si>
    <t>Brake Caliper, Wilwood, Billet NDL</t>
  </si>
  <si>
    <t>Brake Caliper, Wilwood, Dynalite Single Floater</t>
  </si>
  <si>
    <t>Brake Caliper, Wilwood, DynaPro Radial</t>
  </si>
  <si>
    <t>Brake Caliper, Wilwood, DynaPro Single</t>
  </si>
  <si>
    <t>Brake Caliper, Wilwood, Forged Dynalite</t>
  </si>
  <si>
    <t>Brake Caliper, Wilwood, GP200</t>
  </si>
  <si>
    <t>Brake Caliper, Wilwood, GP310</t>
  </si>
  <si>
    <t>Brake Caliper, Wilwood, GP320</t>
  </si>
  <si>
    <t>Brake Caliper, Wilwood, Kart</t>
  </si>
  <si>
    <t>Brake Caliper, Wilwood, NDL</t>
  </si>
  <si>
    <t>Brake Caliper, Wilwood, PS-1</t>
  </si>
  <si>
    <t>Brake Caliper, Yamaha (YZF 450), 5TG-2580T-00-00</t>
  </si>
  <si>
    <t>Brake Hard Line, Any Material (All Cost as Made)</t>
  </si>
  <si>
    <t>Brake Light Pressure Switch Banjo Bolt</t>
  </si>
  <si>
    <t>Brake Pad, Aluminum or MMC Rotor</t>
  </si>
  <si>
    <t>Brake Pad, Carbon Rotor</t>
  </si>
  <si>
    <t>Brake Pad, Iron or Steel Rotor</t>
  </si>
  <si>
    <t>Brake Rotor (All Cost as Made)</t>
  </si>
  <si>
    <t>Hydraulic Fluid Reservoir, Remote (Plastic)</t>
  </si>
  <si>
    <t>Master Cyilnder, ISR, 21-010-OE</t>
  </si>
  <si>
    <t>Master Cylinder, AP, CP2623</t>
  </si>
  <si>
    <t>Master Cylinder, AP, CP3756</t>
  </si>
  <si>
    <t>Master Cylinder, AP, CP4400</t>
  </si>
  <si>
    <t>Master Cylinder, AP, CP4623</t>
  </si>
  <si>
    <t>Master Cylinder, AP, CP5854</t>
  </si>
  <si>
    <t>Master Cylinder, AP, CP5855</t>
  </si>
  <si>
    <t>Master Cylinder, AP, CP6465</t>
  </si>
  <si>
    <t>Master Cylinder, AP, CP7855</t>
  </si>
  <si>
    <t>Master Cylinder, Beck Arnley, 072-9455</t>
  </si>
  <si>
    <t>Master Cylinder, Beringer MC12.7 x 22</t>
  </si>
  <si>
    <t>Master Cylinder, Brembo, 10.4776.10</t>
  </si>
  <si>
    <t>Master Cylinder, Brembo, 10.4776.20</t>
  </si>
  <si>
    <t>Master Cylinder, Brembo, 10.4776.65</t>
  </si>
  <si>
    <t>Master Cylinder, Brembo, XA3.G1.A2/L2</t>
  </si>
  <si>
    <t>Master Cylinder, Brembo, XA6.C2.3</t>
  </si>
  <si>
    <t>Master Cylinder, Bremob, 10.6815.16/97</t>
  </si>
  <si>
    <t>Master Cylinder, Bremob, 10.9243.54/96</t>
  </si>
  <si>
    <t>Master Cylinder, Centric Parts, CE130.51017</t>
  </si>
  <si>
    <t>Master Cylinder, Girling</t>
  </si>
  <si>
    <t>Master Cylinder, Honda CBR600F4i, 43510MBW006</t>
  </si>
  <si>
    <t>Master Cylinder, Hyundai Mobis, 41610-2D100</t>
  </si>
  <si>
    <t>Master Cylinder, Magura, 10.5mm</t>
  </si>
  <si>
    <t>Master Cylinder, Magura, 770.1</t>
  </si>
  <si>
    <t>Master Cylinder, Magura, 770.50</t>
  </si>
  <si>
    <t>Master Cylinder, New Concept Products, G3</t>
  </si>
  <si>
    <t>Master Cylinder, NISSIN, 08-2RM-14-02</t>
  </si>
  <si>
    <t>Master Cylinder, NISSIN, 08-4RM-15-05</t>
  </si>
  <si>
    <t>Master cylinder, Nissin, 153-M00-125B</t>
  </si>
  <si>
    <t>Master Cylinder, Student Made</t>
  </si>
  <si>
    <t>Master Cylinder, Suzuki OEM 69600-16G00</t>
  </si>
  <si>
    <t>Master Cylinder, Tilton, Model 73</t>
  </si>
  <si>
    <t>Master Cylinder, Tilton, Model 74</t>
  </si>
  <si>
    <t>Master Cylinder, Tilton, Model 75</t>
  </si>
  <si>
    <t>Master Cylinder, Tilton, Model 76</t>
  </si>
  <si>
    <t>Master Cylinder, Tilton, Model 77</t>
  </si>
  <si>
    <t>Master Cylinder, Tonykart, BS5 0029.E0</t>
  </si>
  <si>
    <t>Master Cylinder, Tripmatic &amp; Speed 18771</t>
  </si>
  <si>
    <t>Master Cylinder, Wilwood, 260-10371</t>
  </si>
  <si>
    <t>Master Cylinder, Wilwood, 260-10373</t>
  </si>
  <si>
    <t>Master Cylinder, Wilwood, 260-1304</t>
  </si>
  <si>
    <t>Master Cylinder, Wilwood, 260-2636</t>
  </si>
  <si>
    <t>Master Cylinder, Wilwood, 260-4201</t>
  </si>
  <si>
    <t>Master Cylinder, Wilwood, 260-5520</t>
  </si>
  <si>
    <t>Master Cylinder, Wilwood, 260-6087</t>
  </si>
  <si>
    <t>Proportioning Valve, Hydraulic</t>
  </si>
  <si>
    <t>Proportioning Valve, Tilton, 90-1000</t>
  </si>
  <si>
    <t>Proportioning Valve, Tilton, 90-1003</t>
  </si>
  <si>
    <t>Proportioning Valve, Tilton, 90-2000</t>
  </si>
  <si>
    <t>Proportioning Valve, Tilton, 90-2003</t>
  </si>
  <si>
    <t>Proportioning Valve, Wilwood, 260-10922</t>
  </si>
  <si>
    <t>Proportioning Valve, Wilwood, 260-11179</t>
  </si>
  <si>
    <t>Remote Brake Bias Adjuster, AP Racing, CP2905-8</t>
  </si>
  <si>
    <t xml:space="preserve">Remote Brake Bias Adjuster, Tilton 72-408 </t>
  </si>
  <si>
    <t>Remote Brake Bias Adjuster, Tilton 72-501</t>
  </si>
  <si>
    <t>Remote Brake Bias Adjuster, Wilwood, 340-4990</t>
  </si>
  <si>
    <t>Slave Cylinder, CNC, SERIES 305</t>
  </si>
  <si>
    <t>Chassis (All Cost as Made)</t>
  </si>
  <si>
    <t>Hubs (All Cost as Made)</t>
  </si>
  <si>
    <t>Monocoque (All Cost as Made)</t>
  </si>
  <si>
    <t>Rockers (All Cost as Made)</t>
  </si>
  <si>
    <t>Upright (All Cost as Made)</t>
  </si>
  <si>
    <t>Aim Evo 3 Pista Car</t>
  </si>
  <si>
    <t>Aim Evo 3 Pro Car</t>
  </si>
  <si>
    <t>Aim Evo 4 DataLogger Car</t>
  </si>
  <si>
    <t>Aim MXL Pista Race Graphic Car</t>
  </si>
  <si>
    <t>Aim MXL Pista Road Graphic Car</t>
  </si>
  <si>
    <t>Aim MXL Pro05 Car</t>
  </si>
  <si>
    <t>Aim MXL Strada Race Graphic Car</t>
  </si>
  <si>
    <t>Aim MXL Strada Road Graphic Car</t>
  </si>
  <si>
    <t>Aim SmartyCam GPS Standard</t>
  </si>
  <si>
    <t>Aim SmartyCamGP Complete Car</t>
  </si>
  <si>
    <t>Aim Solo DL GPS LapTimer For Car</t>
  </si>
  <si>
    <t>Aim Solo GPS Lap Timer Kit 1 Car</t>
  </si>
  <si>
    <t>Aim TG Lap Timer External Power</t>
  </si>
  <si>
    <t>Aim TG Lap Timer Internal Power</t>
  </si>
  <si>
    <t>Chassis Cntrl Module, +Active Differential</t>
  </si>
  <si>
    <t>Chassis Control Module, +Active Suspension</t>
  </si>
  <si>
    <t>Chassis Control Module, +Automatic Shifter</t>
  </si>
  <si>
    <t>Chassis Control Module, +Battery Charger</t>
  </si>
  <si>
    <t>Chassis Control Module, +Dashboard</t>
  </si>
  <si>
    <t>Chassis Control Module, +Electronic Brake Bias</t>
  </si>
  <si>
    <t>Chassis Control Module, +Traction Control</t>
  </si>
  <si>
    <t>Chassis Control Module, Baseline Enclosure</t>
  </si>
  <si>
    <t>Controller, Active Differential</t>
  </si>
  <si>
    <t>Controller, Active Suspension</t>
  </si>
  <si>
    <t>Datalogger, 2D, Formula Student Data Logger</t>
  </si>
  <si>
    <t>Datalogger, Aim EVO4</t>
  </si>
  <si>
    <t>Datalogger, Aim MXL 2</t>
  </si>
  <si>
    <t>Datalogger, Aim MXL Pista</t>
  </si>
  <si>
    <t>Datalogger, Bosch, DDU 7</t>
  </si>
  <si>
    <t>Datalogger, Motec, ADL</t>
  </si>
  <si>
    <t>Datalogger, Motec, ADL2</t>
  </si>
  <si>
    <t>Datalogger, Motec, ADL3</t>
  </si>
  <si>
    <t>Datalogger, Motec, C125</t>
  </si>
  <si>
    <t>Datalogger, Motec, C185</t>
  </si>
  <si>
    <t>Datalogger, Motec, CDL3</t>
  </si>
  <si>
    <t>Datalogger, Murphy, Powerview 450</t>
  </si>
  <si>
    <t>Datalogger, Race Technologies, DL1</t>
  </si>
  <si>
    <t>Dashboard, Translogic Systems, Micro Dash</t>
  </si>
  <si>
    <t>ECU, AEM, Coil driver 30-2840</t>
  </si>
  <si>
    <t>ECU, AEM, EMS-4, 30-6905</t>
  </si>
  <si>
    <t>ECU, AEM Plug &amp; Play, AVM-30-1052U</t>
  </si>
  <si>
    <t>ECU, AEM Plug &amp; Play, Infinity-6, 30-7106</t>
  </si>
  <si>
    <t xml:space="preserve">ECU, AEM Plug &amp; Play, Infinity-8, 30-7101 </t>
  </si>
  <si>
    <t>ECU, AEM Plug &amp; Play, Infinity-8h, 30-7108</t>
  </si>
  <si>
    <t xml:space="preserve">ECU, AEM Plug &amp; Play, Infinity-10, 30-7100 </t>
  </si>
  <si>
    <t xml:space="preserve">ECU, AEM Plug &amp; Play, Infinity-12, 30-7102 </t>
  </si>
  <si>
    <t>ECU, AEM Wire &amp; Play</t>
  </si>
  <si>
    <t>ECU, Aeromotive, Fuel Pump Controller, 16306</t>
  </si>
  <si>
    <t>ECU, Autronic, SM4</t>
  </si>
  <si>
    <t>ECU, Bosch Motorsport, HPI Box 1.1</t>
  </si>
  <si>
    <t>ECU, Bosch Motorsport, MS3 Sport</t>
  </si>
  <si>
    <t>ECU, Bosch Motorsport, MS4.0 Sport</t>
  </si>
  <si>
    <t>ECU, Bosch Motorsport, MS4.4 Sport, F01TA20068</t>
  </si>
  <si>
    <t>ECU, DTA, S100 Pro</t>
  </si>
  <si>
    <t>ECU, DTA, S40 Pro</t>
  </si>
  <si>
    <t>ECU, DTA, S60 Pro</t>
  </si>
  <si>
    <t>ECU, DTA, S80 Pro</t>
  </si>
  <si>
    <t>ECU, Dynojet, Autotune (single channel), AT-200</t>
  </si>
  <si>
    <t>ECU, Dynojet, LCD unit, LCD-100 &amp;200</t>
  </si>
  <si>
    <t>ECU, Dynojet, Power Commander V USB</t>
  </si>
  <si>
    <t>ECU, Dynojet, Power Commander V-PTi USB</t>
  </si>
  <si>
    <t>ECU, Dynojet, Power Commender III USB</t>
  </si>
  <si>
    <t>ECU, Electromotive, TEC-GT</t>
  </si>
  <si>
    <t>ECU, EngineLab, EL1140L</t>
  </si>
  <si>
    <t>ECU, FuelTech, FT400 EFI</t>
  </si>
  <si>
    <t>ECU, FuelTech, FT500 EFI</t>
  </si>
  <si>
    <t>ECU, Haltech, E11v2</t>
  </si>
  <si>
    <t>ECU, Haltech, E6x</t>
  </si>
  <si>
    <t>ECU, Haltech, E8</t>
  </si>
  <si>
    <t>ECU, Haltech, Elite 1500</t>
  </si>
  <si>
    <t>ECU, Haltech, Platinum Sport 2000 Long Flying Lead Kit</t>
  </si>
  <si>
    <t>ECU, Haltech, PS1000</t>
  </si>
  <si>
    <t>ECU, Life Racing, F88R</t>
  </si>
  <si>
    <t>ECU, Link, G4 Storm</t>
  </si>
  <si>
    <t>ECU, Magneti Marelli, SRA-E</t>
  </si>
  <si>
    <t>ECU, Magneti Marelli, SRA-EDL 4</t>
  </si>
  <si>
    <t>ECU, Magneti Marelli, SRA-EDL 8</t>
  </si>
  <si>
    <t>ECU, Magneti Marelli, SRT-E</t>
  </si>
  <si>
    <t>ECU, Magneti Marelli, SRT-EDL 16</t>
  </si>
  <si>
    <t>ECU, Magneti Marelli, SRT-EDL 32</t>
  </si>
  <si>
    <t>ECU, McLaren MESL TAG-400</t>
  </si>
  <si>
    <t>ECU, Megasquirt</t>
  </si>
  <si>
    <t>ECU, Microsquirt</t>
  </si>
  <si>
    <t>ECU, MoTeC, IEX - Ignition Expander</t>
  </si>
  <si>
    <t>ECU, MoTeC, LTC - Lambda sensor controller</t>
  </si>
  <si>
    <t>ECU, MoTeC, LTCD - Lambda sensor controller</t>
  </si>
  <si>
    <t>ECU, MoTeC, M4</t>
  </si>
  <si>
    <t>ECU, MoTeC, M400</t>
  </si>
  <si>
    <t>ECU, MoTeC, M48</t>
  </si>
  <si>
    <t>ECU, MoTeC, M600</t>
  </si>
  <si>
    <t>ECU, MoTeC, M800</t>
  </si>
  <si>
    <t>ECU, MoTeC, M84</t>
  </si>
  <si>
    <t>ECU, MoTeC, SDL3, Backlighting</t>
  </si>
  <si>
    <t>ECU, MoTeC, SDL3, No Backlighting</t>
  </si>
  <si>
    <t>ECU, MoTeC, TCMUX - Traction Control Multiplexer</t>
  </si>
  <si>
    <t>ECU, Nira, i3+</t>
  </si>
  <si>
    <t>ECU, OEM Spark &amp; Fuel</t>
  </si>
  <si>
    <t>ECU, OEM Spark Only</t>
  </si>
  <si>
    <t>ECU, OEM Spark, Fuel &amp; Traction Control</t>
  </si>
  <si>
    <t>ECU, Ole Buhl Racing, EFI Euro4</t>
  </si>
  <si>
    <t>ECU, Pectel, SQ-6 ECU</t>
  </si>
  <si>
    <t>ECU, Performance Electronics, PE-ECU-1</t>
  </si>
  <si>
    <t>ECU, Performance Electronics, PE-ECU-3</t>
  </si>
  <si>
    <t xml:space="preserve">ECU, Simple Digital Systems, EM-4 D </t>
  </si>
  <si>
    <t xml:space="preserve">ECU, Simple Digital Systems, EM-4 E/MSD </t>
  </si>
  <si>
    <t xml:space="preserve">ECU, Simple Digital Systems, EM-4 F </t>
  </si>
  <si>
    <t>ECU, Sodemo Moteurs, EV11/4</t>
  </si>
  <si>
    <t>ECU, SPDi, programmable spark module 910001</t>
  </si>
  <si>
    <t>ECU, Student Built, +Active Diff</t>
  </si>
  <si>
    <t>ECU, Student Built, +Traction Control</t>
  </si>
  <si>
    <t>ECU, Student Built, Spark &amp; Fuel</t>
  </si>
  <si>
    <t>ECU, Student Built, Spark Only</t>
  </si>
  <si>
    <t>ECU, Syvecs, S6 GP</t>
  </si>
  <si>
    <t>ECU, Trecs, Model II</t>
  </si>
  <si>
    <t>ECU, Trikejt Plus</t>
  </si>
  <si>
    <t>ECU, VEMS, v3</t>
  </si>
  <si>
    <t>ECU, Vortex Ignitions, ECU-2D</t>
  </si>
  <si>
    <r>
      <t>M3 XG LOG Datalogger</t>
    </r>
    <r>
      <rPr>
        <sz val="12"/>
        <color indexed="8"/>
        <rFont val="Arial"/>
        <family val="2"/>
        <charset val="161"/>
      </rPr>
      <t xml:space="preserve">  </t>
    </r>
  </si>
  <si>
    <t>Mychron 3 Basic</t>
  </si>
  <si>
    <t>Mychron 4 Basic</t>
  </si>
  <si>
    <t>Cable, Pull</t>
  </si>
  <si>
    <t>Cable, Push/Pull</t>
  </si>
  <si>
    <t>Damper, AFCO, 1650, Twin tube</t>
  </si>
  <si>
    <t xml:space="preserve">Damper, AFCO, 513SP, Mono tube </t>
  </si>
  <si>
    <t>Damper, AVO, 1.9" Alum Dbl Adj (DAAWA100/75)</t>
  </si>
  <si>
    <t>Damper, Bilstein MDS Formula Student</t>
  </si>
  <si>
    <t>Damper, Cane Creek Double Barrel</t>
  </si>
  <si>
    <t>Damper, Cane Creek Double Barrel Air (DBAir)</t>
  </si>
  <si>
    <t>Damper, DT Swiss, M212</t>
  </si>
  <si>
    <t>Damper, DT Swiss, X313</t>
  </si>
  <si>
    <t>Damper, DNM Burner RCP</t>
  </si>
  <si>
    <t>Damper, Elka Stage-5 MTB</t>
  </si>
  <si>
    <t>Damper, Fox DHX 5.0</t>
  </si>
  <si>
    <t>Damper, Fox Van R</t>
  </si>
  <si>
    <t>Damper, Fox Vanilla R</t>
  </si>
  <si>
    <t>Damper, Hotbits 4WD DT1</t>
  </si>
  <si>
    <t>Damper, Kind Shock, KS-504</t>
  </si>
  <si>
    <t>Damper, Koni 3012</t>
  </si>
  <si>
    <t>Damper, Koni, Trax Spax DA, Double Adjustable</t>
  </si>
  <si>
    <t>Damper, Koni, Trax Spax DA, Single Adjustable</t>
  </si>
  <si>
    <t>Damper, KW GFw 3-Way Adjustable</t>
  </si>
  <si>
    <t>Damper, Manitou, Swinger 4 Way</t>
  </si>
  <si>
    <t>Damper, Marzocchi, Roco TST R</t>
  </si>
  <si>
    <t>Damper, Ohlins SD115</t>
  </si>
  <si>
    <t>Damper, Ohlins ST44</t>
  </si>
  <si>
    <t>Damper, Ohlins TTX 25</t>
  </si>
  <si>
    <t>Damper, Ohlins TTX 36</t>
  </si>
  <si>
    <t>Damper, Penske 7800-Non-Adjustable Quarter Midget</t>
  </si>
  <si>
    <t>Damper, Penske 7800-Piggyback Dbl. Adj. (Kaz Tech.)</t>
  </si>
  <si>
    <t>Damper, Penske 7800-Piggyback Non-Adj.(Kaz Tech.)</t>
  </si>
  <si>
    <t>Damper, Penske 8100</t>
  </si>
  <si>
    <t>Damper, Penske 8300</t>
  </si>
  <si>
    <t>Damper, Penske 8760</t>
  </si>
  <si>
    <t>Damper, Quantum, Zero, non-adjustable</t>
  </si>
  <si>
    <t>Damper, Quantum, One.Zero, single adjustable</t>
  </si>
  <si>
    <t>Damper, Quantum, Two.Zero, Two-way adjustable</t>
  </si>
  <si>
    <t>Damper, Risse Jupiter 5</t>
  </si>
  <si>
    <t>Damper, Risse Jupiter 5R</t>
  </si>
  <si>
    <t>Damper, Risse Jupiter 7R</t>
  </si>
  <si>
    <t>Damper, SRAM, Rock Shox, Vivid R2C</t>
  </si>
  <si>
    <t>Damper, Tanner</t>
  </si>
  <si>
    <t>Damper, Team Built</t>
  </si>
  <si>
    <t>Damper, Team Built, Reservoir Bladder</t>
  </si>
  <si>
    <t>Damper, X-Fusion Vektor DH 1.0</t>
  </si>
  <si>
    <t>Damper, ZF Sachs, ETX36/15x</t>
  </si>
  <si>
    <t>Damper, ZF Sachs, Formula Student</t>
  </si>
  <si>
    <t>Damper, ZF Sachs, RD 36-2</t>
  </si>
  <si>
    <t>Axle (All Cost as Made)</t>
  </si>
  <si>
    <t>Axle Snubber</t>
  </si>
  <si>
    <t>Belt</t>
  </si>
  <si>
    <t>Chain</t>
  </si>
  <si>
    <t>Chain Guard (All Cost as Made)</t>
  </si>
  <si>
    <t>Constant Velocity Joint, Boot</t>
  </si>
  <si>
    <t>Constant Velocity Joint, Housing (All Cost as Made)</t>
  </si>
  <si>
    <t>Constant Velocity Joint, Plug, Axial Locating</t>
  </si>
  <si>
    <t>Constant Velocity Joint, Rzepa Plunging</t>
  </si>
  <si>
    <t>Constant Velocity Joint, Rzeppa Fixed</t>
  </si>
  <si>
    <t>Constant Velocity Joint, Stub-shaft (All Cost as Made)</t>
  </si>
  <si>
    <t>Constant Velocity Joint, Tripod</t>
  </si>
  <si>
    <t>Differential Housing (All Cost as Made)</t>
  </si>
  <si>
    <t>Differential Internals, Limited Slip, Cam &amp; Pawl</t>
  </si>
  <si>
    <t>Differential Internals, Limited Slip, Quaife</t>
  </si>
  <si>
    <t>Differential Internals, Limited Slip, Salisbury or Powerflow or Clutch Style</t>
  </si>
  <si>
    <t>Differential Internals, Limited Slip, Torsen T1</t>
  </si>
  <si>
    <t>Differential Internals, Limited Slip, Torsen T2</t>
  </si>
  <si>
    <t>Differential Internals, Open Gearset (Any)</t>
  </si>
  <si>
    <t>Half Shaft (All Cost as Made)</t>
  </si>
  <si>
    <t>Pulley (All Cost as Made)</t>
  </si>
  <si>
    <t>Sprocket (All Cost as Made)</t>
  </si>
  <si>
    <t>Universal Joint</t>
  </si>
  <si>
    <t xml:space="preserve">Aim M3 XG LOG Datalogger  </t>
  </si>
  <si>
    <t>Battery, Advanced Chemistry (NiMH, Li-Ion, etc.)</t>
  </si>
  <si>
    <t>Battery, Lead Acid</t>
  </si>
  <si>
    <t>Circuit Breaker, Thermal, Klixon 7277-2-20</t>
  </si>
  <si>
    <t>Connector, Aerospace Quality</t>
  </si>
  <si>
    <t>Connector, Computer  Type</t>
  </si>
  <si>
    <t>Connector, High Power, &gt; 2 Amps</t>
  </si>
  <si>
    <t>Connector, OEM Quality</t>
  </si>
  <si>
    <t>Connector, Single Wire</t>
  </si>
  <si>
    <t>Dashpanel, Haltech, Racepak IQ3 Display</t>
  </si>
  <si>
    <t>Dashpanel, Memotec, G-Dash</t>
  </si>
  <si>
    <t>Dashpanel, Race Technology,  Dash4Pro</t>
  </si>
  <si>
    <t>Display, 7 Segment</t>
  </si>
  <si>
    <t>Display, LCD (for Student Built Elect. Only), Area</t>
  </si>
  <si>
    <t>Display, LCD (for Student Built Elect. Only), Rect</t>
  </si>
  <si>
    <t>Display, Matrix</t>
  </si>
  <si>
    <t>Fuse Box</t>
  </si>
  <si>
    <t>Fuse, Control</t>
  </si>
  <si>
    <t>Fuse, Power</t>
  </si>
  <si>
    <t>Fuse, Signal</t>
  </si>
  <si>
    <t>Gauge, Analog</t>
  </si>
  <si>
    <t>Gauge, Analog Housing</t>
  </si>
  <si>
    <t>Gauge, Digital Pro Shifter System, 6187</t>
  </si>
  <si>
    <t>Gauge, Ecliptech, Shift-I shift light, SI-SGAR</t>
  </si>
  <si>
    <t>Heat Shrink Tubing</t>
  </si>
  <si>
    <t>Lamp, Brake with Housing</t>
  </si>
  <si>
    <t>Lamp, Incandescent</t>
  </si>
  <si>
    <t>Lamp, LED</t>
  </si>
  <si>
    <t>Motor, 12 Volt, DC Brush</t>
  </si>
  <si>
    <t>Motor, 12 Volt, DC Brushless Servo</t>
  </si>
  <si>
    <t>Power Distribution Module, Cosworth, IPS32</t>
  </si>
  <si>
    <t>Power Distribution Module, Rowe Electronics, PDM60</t>
  </si>
  <si>
    <t>Relay, Control</t>
  </si>
  <si>
    <t>Relay, Power</t>
  </si>
  <si>
    <t>Relay, Signal</t>
  </si>
  <si>
    <t>Sensor to CAN Converter</t>
  </si>
  <si>
    <t>Servo, 12V</t>
  </si>
  <si>
    <t>Solenoid, 12 Volt</t>
  </si>
  <si>
    <t>Speaker</t>
  </si>
  <si>
    <t>Switch, Kill</t>
  </si>
  <si>
    <t>Switch, Pushbutton</t>
  </si>
  <si>
    <t>Switch, Rotary Multi-position Selector</t>
  </si>
  <si>
    <t>Switch, Toggle</t>
  </si>
  <si>
    <t>Terminal Block, Wiring</t>
  </si>
  <si>
    <t>Wire Sleeving, Expandable</t>
  </si>
  <si>
    <t>Wire Sleeving, Split</t>
  </si>
  <si>
    <t>Wire, Control</t>
  </si>
  <si>
    <t>Wire, fusible link</t>
  </si>
  <si>
    <t>Wire, Power</t>
  </si>
  <si>
    <t>Wire, Signal</t>
  </si>
  <si>
    <t>Accusump</t>
  </si>
  <si>
    <t>Boost Control Solenoid Valve, MR561312</t>
  </si>
  <si>
    <t>Blow off valve</t>
  </si>
  <si>
    <t>Coolant Pump, External Electric</t>
  </si>
  <si>
    <t>Cooling System Air Bleed Valve</t>
  </si>
  <si>
    <t>Dry Sump Pump, Aviad, 003-32000</t>
  </si>
  <si>
    <t>Dry Sump Pump, Dailey Engineering, 04-00-2162</t>
  </si>
  <si>
    <t>Dry Sump Pump, Dailey Engineering, 04-99-2162</t>
  </si>
  <si>
    <t>Dry Sump Pump, Dailey Engineering, 04-99-2162-2</t>
  </si>
  <si>
    <t>Dry Sump Pump, Dailey Engineering, 04-99-2186</t>
  </si>
  <si>
    <t xml:space="preserve">Dry Sump Pump, Dailey Engineering, 04-99-2204 </t>
  </si>
  <si>
    <t>Dry Sump Pump, Dailey Engineering, 04-99-2204-2</t>
  </si>
  <si>
    <t>Dry Sump Pump, Dailey Engineering, 04-99-2264-2</t>
  </si>
  <si>
    <t>Dry Sump Pump, Dailey Engineering, 04-99-2301-2</t>
  </si>
  <si>
    <t>Dry Sump Pump, Pace, 2 Stage</t>
  </si>
  <si>
    <t>Dry Sump Pump, Pace, 3 Stage</t>
  </si>
  <si>
    <t>Dry Sump Pump, Pace, Single Stage</t>
  </si>
  <si>
    <t>Dry Sump Pump, Student Made</t>
  </si>
  <si>
    <t>Engine and Transmission, High Performance (5-10 HP/100 cc)</t>
  </si>
  <si>
    <t>Engine and Transmission, Low Performance (&lt;5 HP/100 cc)</t>
  </si>
  <si>
    <t>Engine and Transmission, Ultra High Performance (&gt;10 HP/100 cc)</t>
  </si>
  <si>
    <t>Exhaust Manifold (All Cost as Made)</t>
  </si>
  <si>
    <t>Exhaust Pipe, Flexible</t>
  </si>
  <si>
    <t>Fuel Check Valve</t>
  </si>
  <si>
    <t>Fuel Injector, Direct Injection</t>
  </si>
  <si>
    <t>Fuel Injector, E85</t>
  </si>
  <si>
    <t>Fuel Injector, Gasoline</t>
  </si>
  <si>
    <t>Fuel Pressure Regulator, E85</t>
  </si>
  <si>
    <t>Fuel Pressure Regulator, Gasoline</t>
  </si>
  <si>
    <t>Fuel Pump, Carburetor, Gasoline or E85</t>
  </si>
  <si>
    <t>Fuel Pump, Direct Injection</t>
  </si>
  <si>
    <t>Fuel Pump, Fuel Injected, E85</t>
  </si>
  <si>
    <t>Fuel Pump, Fuel Injected, Gasoline</t>
  </si>
  <si>
    <t>Fuel Rail (All Cost as Made)</t>
  </si>
  <si>
    <t>Fuel Tank (All Cost as Made)</t>
  </si>
  <si>
    <t>Heat Exchanger Fan</t>
  </si>
  <si>
    <t>Heat Exchanger Fan, small &lt;120mm diameter</t>
  </si>
  <si>
    <t>Heat Exchanger Fan Shroud (All Cost as Made)</t>
  </si>
  <si>
    <t>Heat Exchanger, Air-to-Air</t>
  </si>
  <si>
    <t>Heat Exchanger, Air-to-Liquid</t>
  </si>
  <si>
    <t>Heat Exchanger, Liquid-to-Liquid</t>
  </si>
  <si>
    <t>Intake (All Cost as Made)</t>
  </si>
  <si>
    <t>Muffler (All Cost as Made)</t>
  </si>
  <si>
    <t>Muffler Batting</t>
  </si>
  <si>
    <t>Oil Filter</t>
  </si>
  <si>
    <t>Overflow Bottle, Aluminum Drinking Bottle</t>
  </si>
  <si>
    <t>Overflow Bottle, JAX 1 Qt. Oil Breather Tank</t>
  </si>
  <si>
    <t>Overflow Bottle, JAX, 1 Qt. Recirc. Catch Can</t>
  </si>
  <si>
    <t>Overflow Bottle, Nalgene Bottle</t>
  </si>
  <si>
    <t>Overflow Bottle, Plastic Bottle</t>
  </si>
  <si>
    <t>Overflow Bottle, Plastic Drinking Bottle</t>
  </si>
  <si>
    <t>Overflow Bottle, Steel Oil Can</t>
  </si>
  <si>
    <t>Overflow Bottle, Student Built</t>
  </si>
  <si>
    <t>Pump, Transmission Oil, Hope Technik, 006</t>
  </si>
  <si>
    <t>Spark Plug Coil</t>
  </si>
  <si>
    <t>Spark Plug Wire</t>
  </si>
  <si>
    <t>Supercharger</t>
  </si>
  <si>
    <t>Throttle Body (All Cost as Made)</t>
  </si>
  <si>
    <t>Turbocharger</t>
  </si>
  <si>
    <t>Chassis Control Module, + Battery Charger HV</t>
  </si>
  <si>
    <t>Chassis Control Module, + Battery Charger LV</t>
  </si>
  <si>
    <t>Chassis Control Module, + Battery Management System</t>
  </si>
  <si>
    <t>Chassis Control Module, + DCDC-Power (&gt;1A) HV-&gt;LV</t>
  </si>
  <si>
    <t>Chassis Control Module, + HC-HV Fuse incl. Box</t>
  </si>
  <si>
    <t>Chassis Control Module, + HV Housing</t>
  </si>
  <si>
    <t>Chassis Control Module, + HV Insulation Relay</t>
  </si>
  <si>
    <t>Chassis Control Module, + HV Precharge</t>
  </si>
  <si>
    <t>Chassis Control Module, + Isolation Monitoring Device</t>
  </si>
  <si>
    <t>Chassis Control Module, + Motor Controller AC</t>
  </si>
  <si>
    <t>Chassis Control Module, + Motor Controller DC</t>
  </si>
  <si>
    <t>Chassis Control Module, + Power Distribution Module</t>
  </si>
  <si>
    <t>Chassis Control Module, + TSAL</t>
  </si>
  <si>
    <t>Chassis Control Module, + TSAS, buzzer</t>
  </si>
  <si>
    <t>Chassis Control Module, + TSAS, melody</t>
  </si>
  <si>
    <t>ECU, Automotive</t>
  </si>
  <si>
    <t>ECU, Industrial</t>
  </si>
  <si>
    <t>ECU, Rapid Prototyping</t>
  </si>
  <si>
    <t>ECU, student built</t>
  </si>
  <si>
    <t>Battery, Tractive Lithium</t>
  </si>
  <si>
    <t>Conduit incl. Nuts, Elbows etc.</t>
  </si>
  <si>
    <t>Connector, HC-HV incl. Interlock</t>
  </si>
  <si>
    <t>Connector, HC-HV Lug Type</t>
  </si>
  <si>
    <t>Wiring HV (&gt; 12 mm²)</t>
  </si>
  <si>
    <t>Motor, Tractive AC</t>
  </si>
  <si>
    <t>Motor, Tractive DC</t>
  </si>
  <si>
    <t>Fluid, Coolant</t>
  </si>
  <si>
    <t>Fluid, Oil</t>
  </si>
  <si>
    <t>Foam, Fuel Anti-Surge</t>
  </si>
  <si>
    <t>Fuel Check Valve, In-line, Aluminum Rollover</t>
  </si>
  <si>
    <t>Fuel Check Valve, In-line, Plastic Rollover</t>
  </si>
  <si>
    <t>Cable Tie Mount, Adhesive Backed</t>
  </si>
  <si>
    <t>Coupling, Shaft, Helical Beam</t>
  </si>
  <si>
    <t>Drawbolt Catch &amp; Hook</t>
  </si>
  <si>
    <t>Grommet, Elastomer</t>
  </si>
  <si>
    <t>Locating Pin, Bullet-Nose Dowel, Steel</t>
  </si>
  <si>
    <t>Locating Pin, Liner, Steel</t>
  </si>
  <si>
    <t>Mount, Vibration-Damping Sandwich</t>
  </si>
  <si>
    <t>Piano Hinge, Aluminum</t>
  </si>
  <si>
    <t>Woodruff Key</t>
  </si>
  <si>
    <t>Adhesive</t>
  </si>
  <si>
    <t>Balance Bar Cable Adjuster, AP CP2905-8</t>
  </si>
  <si>
    <t>Balance Bar Cable Adjuster, Optimum Balance Prod</t>
  </si>
  <si>
    <t>Cable Adjuster</t>
  </si>
  <si>
    <t>Cable end clevis</t>
  </si>
  <si>
    <t>Clevis</t>
  </si>
  <si>
    <t xml:space="preserve">Edge protection </t>
  </si>
  <si>
    <t>Filler Cap</t>
  </si>
  <si>
    <t>Gearbox Oil Temp. Control Valve, GearZmo</t>
  </si>
  <si>
    <t>Head Rest Padding</t>
  </si>
  <si>
    <t>Heat Barrier</t>
  </si>
  <si>
    <t>Mirror Lens</t>
  </si>
  <si>
    <t>Mirror, Rear View, Housing (All Cost as Made)</t>
  </si>
  <si>
    <t>Paint</t>
  </si>
  <si>
    <t>Roll Hoop Padding</t>
  </si>
  <si>
    <t>Seat (All Cost as Made)</t>
  </si>
  <si>
    <t>Tape</t>
  </si>
  <si>
    <t>Throttle Linkage, Tilton, 72-790</t>
  </si>
  <si>
    <t>Pedal Assembly, Optimum Balance Products OBP0181</t>
  </si>
  <si>
    <t>Pedal Assembly, Tilton, 72-680</t>
  </si>
  <si>
    <t>Pedal, Wilwood, 340-1285</t>
  </si>
  <si>
    <t>Adapter, Hex Nipple, Brass</t>
  </si>
  <si>
    <t>Adapter, Hex Nipple, Reducing, Brass</t>
  </si>
  <si>
    <t>Adapter/L.P.///Aluminum/Anodized</t>
  </si>
  <si>
    <t>Adapter/L.P./Barb to Male Pipe/90 Deg./Aluminum/Anodized</t>
  </si>
  <si>
    <t>Adapter/L.P./Barb to Male Pipe/Elbow/Plastic</t>
  </si>
  <si>
    <t>Adapter/L.P./Barb to Male Pipe/Straight/Aluminum/Anodized</t>
  </si>
  <si>
    <t>Adapter/L.P./Barb to Male Pipe/Straight/Plastic</t>
  </si>
  <si>
    <t>Adapter/L.P./Bulkhead Male Connector//Steel/</t>
  </si>
  <si>
    <t>Adapter/L.P./Bulkhead Run Tee//Aluminum/Anodized</t>
  </si>
  <si>
    <t>Adapter/L.P./Bulkhead Run Tee//Steel/</t>
  </si>
  <si>
    <t>Adapter/L.P./Bulkhead Tee//Aluminum/Anodized</t>
  </si>
  <si>
    <t>Adapter/L.P./Bulkhead Tee//Steel/</t>
  </si>
  <si>
    <t>Adapter/L.P./Bulkhead Union//Aluminum/Anodized</t>
  </si>
  <si>
    <t>Adapter/L.P./Bulkhead Union//Steel/</t>
  </si>
  <si>
    <t>Adapter/L.P./Bulkhead Union/45 deg./Aluminum/Anodized</t>
  </si>
  <si>
    <t>Adapter/L.P./Bulkhead Union/45 deg./Steel/</t>
  </si>
  <si>
    <t>Adapter/L.P./Bulkhead Union/90 deg./Aluminum/Anodized</t>
  </si>
  <si>
    <t>Adapter/L.P./Bulkhead Union/90 deg./Steel/</t>
  </si>
  <si>
    <t>Adapter/L.P./Elbow/FeMale to Male Pipe/90 deg./Aluminum/Anodized</t>
  </si>
  <si>
    <t>Adapter/L.P./Female Flare Tee//Aluminum/Anodized</t>
  </si>
  <si>
    <t>Adapter/L.P./Female Flare Tee//Brass</t>
  </si>
  <si>
    <t>Adapter/L.P./Female Pipe Tee//Aluminum/Anodized</t>
  </si>
  <si>
    <t>Adapter/L.P./FemAle Pipe to Male Flare//Steel/</t>
  </si>
  <si>
    <t>Adapter/L.P./Male Branch Tee//Aluminum/Anodized</t>
  </si>
  <si>
    <t>Adapter/L.P./Male Flare to Pipe//Aluminum/Nickel-Plated</t>
  </si>
  <si>
    <t>Adapter/L.P./Male Flare to Pipe//Brass/</t>
  </si>
  <si>
    <t>Adapter/L.P./Male Flare to Pipe//Steel/</t>
  </si>
  <si>
    <t>Adapter/L.P./Male Flare to Pipe/45 deg./Aluminum/Anodized</t>
  </si>
  <si>
    <t>Adapter/L.P./Male Flare to Pipe/45 deg./Aluminum/Nickel-Plated</t>
  </si>
  <si>
    <t>Adapter/L.P./Male Flare to Pipe/45 deg./Steel/</t>
  </si>
  <si>
    <t>Adapter/L.P./Male Flare to Pipe/90 deg./Aluminum/Anodized</t>
  </si>
  <si>
    <t>Adapter/L.P./Male Flare to Pipe/90 deg./Aluminum/Nickel-Plated</t>
  </si>
  <si>
    <t>Adapter/L.P./Male Flare to Pipe/90 deg./Brass/</t>
  </si>
  <si>
    <t>Adapter/L.P./Male Flare to Pipe/90 deg./Steel/</t>
  </si>
  <si>
    <t>Adapter/L.P./Male Pip Nipple//Aluminum/Anodized</t>
  </si>
  <si>
    <t>Adapter/L.P./Male Run Tee//Aluminum/Anodized</t>
  </si>
  <si>
    <t>Adapter/L.P./Male Run Tee//Steel/</t>
  </si>
  <si>
    <t>Adapter/L.P./Pipe Coupling//Aluminum/Anodized</t>
  </si>
  <si>
    <t>Adapter/L.P./Pipe to Pipe//Aluminum/Anodized</t>
  </si>
  <si>
    <t>Adapter/L.P./Push-to-Connect to Male Pipe/Straight/Aluminum/Anodized</t>
  </si>
  <si>
    <t>Adapter/L.P./Union Reducer//Aluminum/Anodized</t>
  </si>
  <si>
    <t>Adapter/L.P./Union Reducer//Brass</t>
  </si>
  <si>
    <t>Adapter/L.P./Union Tee//Aluminum/Anodized</t>
  </si>
  <si>
    <t>Adapter/L.P./Union Tee//Brass/</t>
  </si>
  <si>
    <t>Adapter/L.P./Union//Aluminum/Anodized</t>
  </si>
  <si>
    <t>Adapter/L.P./Union/90 deg./Aluminum/Anodized</t>
  </si>
  <si>
    <t>Adapter/L.P./Union/90 deg./Brass</t>
  </si>
  <si>
    <t>Adapter/L.P./Union/FeMale Flare//Aluminum/Anodized</t>
  </si>
  <si>
    <t>Banjo Bolt, Aluminum</t>
  </si>
  <si>
    <t>Banjo Bolt, Steel</t>
  </si>
  <si>
    <t>Banjo Fitting, 45 Deg., Aluminum</t>
  </si>
  <si>
    <t>Banjo Fitting, 45 Deg., Steel</t>
  </si>
  <si>
    <t>Banjo Fitting, 90 Deg., Aluminum</t>
  </si>
  <si>
    <t>Banjo Fitting, 90 Deg., Steel</t>
  </si>
  <si>
    <t>Banjo Fitting, Aluminum</t>
  </si>
  <si>
    <t>Banjo Fitting, Double, Aluminum</t>
  </si>
  <si>
    <t>Banjo Fitting, Double, Steel</t>
  </si>
  <si>
    <t>Banjo Fitting, Steel</t>
  </si>
  <si>
    <t>Bleedscrew, Hydraulic (Brake, clutch, etc.)</t>
  </si>
  <si>
    <t>Break Coupling, Dry, Female, Goodridge</t>
  </si>
  <si>
    <t>Break Coupling, Dry, Female, KC Engineering</t>
  </si>
  <si>
    <t>Break Coupling, Dry, Female, Staubli</t>
  </si>
  <si>
    <t>Break Coupling, Dry, Male, Goodridge</t>
  </si>
  <si>
    <t>Break Coupling, Dry, Male, KC Engineering</t>
  </si>
  <si>
    <t>Break Coupling, Dry, Male, Staubli</t>
  </si>
  <si>
    <t>Check Valve, High Press, Adj, In-Line, Generant</t>
  </si>
  <si>
    <t xml:space="preserve">Check Valve, Residuel Pressure </t>
  </si>
  <si>
    <t>Crush Washer</t>
  </si>
  <si>
    <t>Drain Plug, Hex Head, Magnetic</t>
  </si>
  <si>
    <t>Drain Plug, Square Head, Magnetic</t>
  </si>
  <si>
    <t>Fitting, Fuel Pressure Gauge</t>
  </si>
  <si>
    <t>Fitting, JT2000, Quick Con. Plug to Flare, 45 Deg.</t>
  </si>
  <si>
    <t>Fitting, JT2000, Quick Con. Plug to Flare, 90 Deg.</t>
  </si>
  <si>
    <t>Fitting, JT2000, Quick Con. Plug to Flare, Str.</t>
  </si>
  <si>
    <t>Fitting, JT2000, Quick Con. Socket to Flare, 45 Deg.</t>
  </si>
  <si>
    <t>Fitting, JT2000, Quick Con. Socket to Flare, 90 Deg.</t>
  </si>
  <si>
    <t>Fitting, JT2000, Quick Con. Socket to Flare, Straight</t>
  </si>
  <si>
    <t>Fitting, Push-to-Connect, Plastic, Elbow 90°</t>
  </si>
  <si>
    <t>Fitting, Push-to-Connect, Plastic, Straight</t>
  </si>
  <si>
    <t>Fitting, Push-to-Connect, Plastic, Tee</t>
  </si>
  <si>
    <t>Fitting, Push-to-Connect, Plastic, Wye</t>
  </si>
  <si>
    <t>Fitting, Weld-in, Male, Aluminum</t>
  </si>
  <si>
    <t>Fitting, Wiggins, Clamshell Assembly</t>
  </si>
  <si>
    <t>Fitting, Wiggins, Coupling Assembly</t>
  </si>
  <si>
    <t>Fitting, Wiggins, Weld Ferrule</t>
  </si>
  <si>
    <t>Fitting/H.P./Elbow/45 deg./Steel/</t>
  </si>
  <si>
    <t>Fitting/H.P./Elbow/90 deg./Steel/</t>
  </si>
  <si>
    <t>Fitting/H.P./MAluminume Flare//Brass/</t>
  </si>
  <si>
    <t>Fitting/H.P./MAluminume Inverted Flare//Brass/</t>
  </si>
  <si>
    <t>Fitting/H.P./MAluminume Inverted Flare//Steel/</t>
  </si>
  <si>
    <t>Fitting/H.P./MAluminume Inverted Flare/45 deg./Steel/</t>
  </si>
  <si>
    <t>Fitting/H.P./MAluminume Inverted Flare/90 deg./Steel/</t>
  </si>
  <si>
    <t>Fitting/H.P./MAluminume Pipe//Brass/</t>
  </si>
  <si>
    <t>Fitting/H.P./MAluminume Pipe//Steel/</t>
  </si>
  <si>
    <t>Fitting/H.P./Straight//Brass/</t>
  </si>
  <si>
    <t>Fitting/H.P./Straight//Steel/</t>
  </si>
  <si>
    <t>Fitting/L.P./Cap//Aluminum/Anodized</t>
  </si>
  <si>
    <t>Fitting/L.P./Cap//Steel/</t>
  </si>
  <si>
    <t>Fitting/L.P./Elbow/120 deg./Aluminum/Anodized</t>
  </si>
  <si>
    <t>Fitting/L.P./Elbow/120 deg./Aluminum/Crimp</t>
  </si>
  <si>
    <t>Fitting/L.P./Elbow/150 deg./Aluminum/Anodized</t>
  </si>
  <si>
    <t>Fitting/L.P./Elbow/150 deg./Aluminum/Crimp</t>
  </si>
  <si>
    <t>Fitting/L.P./Elbow/180 deg./Aluminum/Anodized</t>
  </si>
  <si>
    <t>Fitting/L.P./Elbow/180 deg./Aluminum/Crimp</t>
  </si>
  <si>
    <t>Fitting/L.P./Elbow/30 deg./Aluminum/Anodized</t>
  </si>
  <si>
    <t>Fitting/L.P./Elbow/30 deg./Aluminum/Crimp</t>
  </si>
  <si>
    <t>Fitting/L.P./Elbow/45 deg./Aluminum/Anodized</t>
  </si>
  <si>
    <t>Fitting/L.P./Elbow/45 deg./Aluminum/Crimp</t>
  </si>
  <si>
    <t>Fitting/L.P./Elbow/45 deg./Aluminum/Nickel-Plated</t>
  </si>
  <si>
    <t>Fitting/L.P./Elbow/45 deg./Steel/</t>
  </si>
  <si>
    <t>Fitting/L.P./Elbow/60 deg./Aluminum/Anodized</t>
  </si>
  <si>
    <t>Fitting/L.P./Elbow/60 deg./Aluminum/Crimp</t>
  </si>
  <si>
    <t>Fitting/L.P./Elbow/90 deg./Aluminum/Anodized</t>
  </si>
  <si>
    <t>Fitting/L.P./Elbow/90 deg./Aluminum/Crimp</t>
  </si>
  <si>
    <t>Fitting/L.P./Elbow/90 deg./Aluminum/Nickel-Plated</t>
  </si>
  <si>
    <t>Fitting/L.P./Elbow/90 deg./Steel/</t>
  </si>
  <si>
    <t>Fitting/L.P./Male Flare to Pipe//Aluminum/Anodized</t>
  </si>
  <si>
    <t>Fitting/L.P./Male Pipe//Aluminum/</t>
  </si>
  <si>
    <t>Fitting/L.P./Orb/45 deg./Aluminum/</t>
  </si>
  <si>
    <t>Fitting/L.P./Orb/90 deg./Aluminum/</t>
  </si>
  <si>
    <t>Fitting/L.P./Straight/Aluminum/Anodized</t>
  </si>
  <si>
    <t>Fitting/L.P./Straight/Aluminum/Crimp</t>
  </si>
  <si>
    <t>Fitting/L.P./Straight/Aluminum/Nickel-Plated</t>
  </si>
  <si>
    <t>Fitting/L.P./Straight/Steel/</t>
  </si>
  <si>
    <t>Fitting/L.P./Tee/Flare-Flare-Pipe/Steel/</t>
  </si>
  <si>
    <t>Fitting/L.P./Tube Nut//Aluminum/Anodized</t>
  </si>
  <si>
    <t>Fitting/L.P./Tube Nut//Steel/</t>
  </si>
  <si>
    <t>Fitting/L.P./Tube Sleeve//Aluminum/Anodized</t>
  </si>
  <si>
    <t>Fitting/L.P./Tube Sleeve/Brass</t>
  </si>
  <si>
    <t>Fitting/L.P./Tube Sleeve/Steel/</t>
  </si>
  <si>
    <t>Grease Nipple, 45 Deg.</t>
  </si>
  <si>
    <t>Grease Nipple, 90 Deg.</t>
  </si>
  <si>
    <t>Grease Nipple, Straight</t>
  </si>
  <si>
    <t>Hose, High Pressure, Stainless Steel Braided Outer</t>
  </si>
  <si>
    <t>Hose, Low Pressure, Fabric Outer</t>
  </si>
  <si>
    <t>Hose, Low Pressure, Stainless Steel Braided Outer</t>
  </si>
  <si>
    <t>Hose, Low Presure, Fabric Outer, Socketless</t>
  </si>
  <si>
    <t>Hose, Polyurethane</t>
  </si>
  <si>
    <t>Hose, Rubber</t>
  </si>
  <si>
    <t>Hose, Silicone</t>
  </si>
  <si>
    <t>Locknut/L.P.///Steel/</t>
  </si>
  <si>
    <t>Locknut/L.P./Flare//Aluminum/Anodized</t>
  </si>
  <si>
    <t>Plug/L.P./Flare//Steel/</t>
  </si>
  <si>
    <t>Plug/L.P./O-Ring Boss//Aluminum/Anodized</t>
  </si>
  <si>
    <t>Plug/L.P./Pipe/Allen Head/Aluminum/Anodized</t>
  </si>
  <si>
    <t>Rotating Union, GAT, Rotodisk</t>
  </si>
  <si>
    <t>Tubing, Steel</t>
  </si>
  <si>
    <t>Harness, Driver</t>
  </si>
  <si>
    <t>Seal, O-Ring, Elastomer</t>
  </si>
  <si>
    <t>Seal, Radial Lip Seal</t>
  </si>
  <si>
    <t>Sensor, Accelerometer, 1 Axis</t>
  </si>
  <si>
    <t>Sensor, Accelerometer, 3 Axis</t>
  </si>
  <si>
    <t>Sensor, Air Temperature</t>
  </si>
  <si>
    <t>Sensor, Angular Position</t>
  </si>
  <si>
    <t>Sensor, Fluid Pressure</t>
  </si>
  <si>
    <t>Sensor, GPS</t>
  </si>
  <si>
    <t>Sensor, Gyroscope</t>
  </si>
  <si>
    <t>Sensor, Fluid Pressure &amp; Temperature</t>
  </si>
  <si>
    <t>Sensor, Hall Effect</t>
  </si>
  <si>
    <t>Sensor, Load Cell</t>
  </si>
  <si>
    <t>Sensor, LVDT</t>
  </si>
  <si>
    <t>Sensor, Manifold Absolute Pressure (MAP)</t>
  </si>
  <si>
    <t>Sensor, Mass Air Flow (MAF)</t>
  </si>
  <si>
    <t>Sensor, Pitot Tube</t>
  </si>
  <si>
    <t>Sensor, Strain Gauge</t>
  </si>
  <si>
    <t>Sensor, Switching Air Fuel Ratio</t>
  </si>
  <si>
    <t>Sensor, Temperature</t>
  </si>
  <si>
    <t>Sensor, Thermocouple</t>
  </si>
  <si>
    <t>Sensor, Two State Position</t>
  </si>
  <si>
    <t>Sensor, Wide Band Air Fuel Raito</t>
  </si>
  <si>
    <t>Air Pressure Regulator</t>
  </si>
  <si>
    <t>CO2 Regulator</t>
  </si>
  <si>
    <t>CO2 Tank, Composite</t>
  </si>
  <si>
    <t>CO2 Tank, Metallic</t>
  </si>
  <si>
    <t>N2 Regulator</t>
  </si>
  <si>
    <t>N2 Tank, Composite</t>
  </si>
  <si>
    <t>N2 Tank, Metallic</t>
  </si>
  <si>
    <t>Pneumatic Cylinder, Double Acting</t>
  </si>
  <si>
    <t>Pneumatic Cylinder, Single Acting</t>
  </si>
  <si>
    <t>Pneumatic fluidic muscle</t>
  </si>
  <si>
    <t>Pneumatic Valve, Two Position</t>
  </si>
  <si>
    <t>Shift Lever, Bicycle OEM</t>
  </si>
  <si>
    <t>Shift Lever, Honda, 0143719</t>
  </si>
  <si>
    <t>Shifter, Automatic, Flat Shifter Expert</t>
  </si>
  <si>
    <t>Shifter, Automatic, Flat Shifter Max</t>
  </si>
  <si>
    <t>Shifter, Automatic, Kartech, Me-Shifter F1</t>
  </si>
  <si>
    <t>Shifter, Automatic, Kliktronics</t>
  </si>
  <si>
    <t>Shifter, Automatic, Pingel Easy Shift Kit</t>
  </si>
  <si>
    <t>Shifter, Automatic, ProShift PSU Bike Kit</t>
  </si>
  <si>
    <t>Shifter, Automatic, TransLogic TLS-PS1</t>
  </si>
  <si>
    <t>Spring, Small gas spring (General)</t>
  </si>
  <si>
    <t>Spring, Compression (General)</t>
  </si>
  <si>
    <t>Spring, Tension (General)</t>
  </si>
  <si>
    <t>Spring, Torsion (General)</t>
  </si>
  <si>
    <t>Suspension Springs, Coil Spring, Steel</t>
  </si>
  <si>
    <t>Suspension Springs, Coil Spring, Titanium</t>
  </si>
  <si>
    <t>Steering Column Universal Joint</t>
  </si>
  <si>
    <t>Steering Column Universal Joint, Double</t>
  </si>
  <si>
    <t>Steering Pinion (All Cost as Made)</t>
  </si>
  <si>
    <t>Steering Rack (All Cost as Made)</t>
  </si>
  <si>
    <t>Steering Rack Housing (All Cost as Made)</t>
  </si>
  <si>
    <t>Steering Wheel (All Cost as Made)</t>
  </si>
  <si>
    <t>Steering Wheel, Quick Release (All Cost as Made)</t>
  </si>
  <si>
    <t>A-Arms (All Cost as Made)</t>
  </si>
  <si>
    <t>Wishbones (All Cost as Made)</t>
  </si>
  <si>
    <t>Tire, American Racer, M32, 8"-15.0 x7.0</t>
  </si>
  <si>
    <t>Tire, American Racer, SD44, 8"-15.0 x6.0</t>
  </si>
  <si>
    <t>Tire, American Racer, SD44, 8"-15.0 x8.0</t>
  </si>
  <si>
    <t>Tire, American Racer,M32, 8"-15.0 x7.0</t>
  </si>
  <si>
    <t>Tire, American Racer,SD44, 8"-15.0 x6.0</t>
  </si>
  <si>
    <t>Tire, American Racer,SD44, 8"-15.0 x8.0</t>
  </si>
  <si>
    <t>Tire, American Racer,M28, 13"-21.8 x10</t>
  </si>
  <si>
    <t>Tire, Avon, A45, 10"-16.0 x 7.2</t>
  </si>
  <si>
    <t>Tire, Avon, A45, 13"-20.0 x 6.2</t>
  </si>
  <si>
    <t>Tire, Avon, A45, 13"-20.0 x 7.2</t>
  </si>
  <si>
    <t>Tire, Avon, A45, 13"-20.0 x 8.2</t>
  </si>
  <si>
    <t>Tire, Bridgestone, 13"-180mm/510mm</t>
  </si>
  <si>
    <t>Tire, Continental, 13"</t>
  </si>
  <si>
    <t>Tire, Dunlop Motorsport, 10", 160mm/490mm</t>
  </si>
  <si>
    <t>Tire, Dunlop Motorsport, 13", 175mm/505mm</t>
  </si>
  <si>
    <t>Tire, Goodyear, D2692, 13"-20.0 x 7.0</t>
  </si>
  <si>
    <t>Tire, Goodyear, R065, 13"-20.0 x 7.0</t>
  </si>
  <si>
    <t>Tire, Goodyear, R075, 13"-20.0 x 7.0</t>
  </si>
  <si>
    <t>Tire, Hoosier, LC0, 10"-18.0 x 6.0</t>
  </si>
  <si>
    <t>Tire, Hoosier, LC0, 10"-18.0 x 7.0</t>
  </si>
  <si>
    <t>Tire, Hoosier, R25B, 10"-18.0 x 6.0</t>
  </si>
  <si>
    <t>Tire, Hoosier, R25B, 10"-18.0 x 7.5</t>
  </si>
  <si>
    <t>Tire, Hoosier, R25B, 10"-19.5 x 6.5</t>
  </si>
  <si>
    <t>Tire, Hoosier, R25B, 10"-19.5 x 7.5</t>
  </si>
  <si>
    <t>Tire, Hoosier, R25B, 13"-20.0 x 7.5</t>
  </si>
  <si>
    <t>Tire, Hoosier, R25B, 13"-20.0 x 8.0</t>
  </si>
  <si>
    <t>Tire, Hoosier, R25B, 13"-20.0 x 9.0</t>
  </si>
  <si>
    <t>Tire, Hoosier, R25B, 13"-20.5 x 6.0</t>
  </si>
  <si>
    <t>Tire, Hoosier, R25B, 13"-20.5 x 7.0</t>
  </si>
  <si>
    <t>Tire, Hoosier, Wet, 10"-19.5 x 6.5</t>
  </si>
  <si>
    <t>Tire, Hoosier, Wet, 13"-20.0 x 7.5</t>
  </si>
  <si>
    <t>Tire, Hoosier, Wet, 13"-21.0 x 6.5</t>
  </si>
  <si>
    <t>Tire, Kumho, ECSTA, 13"-170mm/515mm</t>
  </si>
  <si>
    <t>Tire, Michelin, P220, 13"-20.9 x 6.3</t>
  </si>
  <si>
    <t>Tire, Michelin, S6B, 13"-20.9 x 6.3</t>
  </si>
  <si>
    <t>Tire, Pirelli, 13"-180mm/530mm</t>
  </si>
  <si>
    <t>Tire, Pirelli, 13"-200mm/540mm</t>
  </si>
  <si>
    <t>Tire, Pirelli, 13"-250mm/575mm SUPERSOFT</t>
  </si>
  <si>
    <t>Tire, Treaded Production Car Not Listed Above</t>
  </si>
  <si>
    <t>Tire, Yokohoma, ADVAN Dry, 13" 160-55</t>
  </si>
  <si>
    <t>Tire, Yokohoma, ADVAN Wet, 13" 160-55</t>
  </si>
  <si>
    <t>Valve Stem (and Tire Inflation)</t>
  </si>
  <si>
    <t>Wheel Center, Any Size, Student Made</t>
  </si>
  <si>
    <t>Wheel Shells, 10", 2 Piece, Keizer, Aluminum</t>
  </si>
  <si>
    <t>Wheel Shells, 10", 3 Piece, Keizer, Aluminum</t>
  </si>
  <si>
    <t>Wheel Shells, 13" Inner, 4" Wide, Kodiak, Aluminum</t>
  </si>
  <si>
    <t>Wheel Shells, 13" Inner, 4.5" Wide, Kodiak, Alum.</t>
  </si>
  <si>
    <t>Wheel Shells, 13" Inner, 5" Wide, Kodiak, Alum.</t>
  </si>
  <si>
    <t>Wheel Shells, 13" Inner, 6" Wide, Kodiak, Alum.</t>
  </si>
  <si>
    <t>Wheel Shells, 13" Outer, 1" Wide, Kodiak, Alum.</t>
  </si>
  <si>
    <t>Wheel Shells, 13" Outer, 1.5" Wide, Kodiak, Alum.</t>
  </si>
  <si>
    <t>Wheel Shells, 13" Outer, 2" Wide, Kodiak, Alum.</t>
  </si>
  <si>
    <t>Wheel Shells, 13", 3 Piece, Jongbloed, Alum.</t>
  </si>
  <si>
    <t>Wheel Shells, 13", 3 Piece, Jongbloed, Magnesium</t>
  </si>
  <si>
    <t>Wheel Shells, 13", 3 Piece, Keizer, Aluminum</t>
  </si>
  <si>
    <t>Weld</t>
  </si>
  <si>
    <t>Wheel Shells, 13", 3 Piece, Weld, Aluminum</t>
  </si>
  <si>
    <t>Wheel Weights (and Balancing)</t>
  </si>
  <si>
    <t>Wheel, 10", 1 Piece OEM, Aluminum</t>
  </si>
  <si>
    <t>Wheel, 10", 1 Piece OEM, Magnesium</t>
  </si>
  <si>
    <t>Wheel, 10", 1 Piece OEM, Steel</t>
  </si>
  <si>
    <t>Wheel, 10", 1 Piece, Carbon Fiber, Purchased</t>
  </si>
  <si>
    <t>Wheel, 10", 1 Piece, Carbon Fiber, Student Made</t>
  </si>
  <si>
    <t>Wheel, 10", 1 Piece, DWT, Alumalite, Aluminum, Model 011-05</t>
  </si>
  <si>
    <t>Wheel, 10", 1 Piece OZ, Magnesium</t>
  </si>
  <si>
    <t>Wheel, 10", 2 Piece, HiPer Racing, Carbon-plastic, CF1, Inner Half</t>
  </si>
  <si>
    <t>Wheel, 10", 2 Piece, HiPer Racing, Carbon-plastic, Tec 3, Inner Half</t>
  </si>
  <si>
    <t>Wheel, 10", 3 Piece, Force-Racing V5, Aluminum</t>
  </si>
  <si>
    <t>Wheel, 10", 3 Piece, Keizer, Aluminum</t>
  </si>
  <si>
    <t>Wheel, 13", 1 Piece OEM, Aluminum</t>
  </si>
  <si>
    <t>Wheel, 13", 1 Piece OEM, Magnesium</t>
  </si>
  <si>
    <t>Wheel, 13", 1 Piece OEM, Steel</t>
  </si>
  <si>
    <t>Wheel, 13", 1 Piece OZ, Aluminum</t>
  </si>
  <si>
    <t>Wheel, 13", 1 Piece OZ, Magnesium</t>
  </si>
  <si>
    <t>Wheel, 13", 1 Piece, Braid, Formrace, Aluminum, Model 16, 7" Wide</t>
  </si>
  <si>
    <t>Wheel, 13", 1 Piece, Braid, Sturace, Aluminum, 7" Wide</t>
  </si>
  <si>
    <t>Wheel, 13", 1 Piece, Carbon Fiber, Purchased</t>
  </si>
  <si>
    <t>Wheel, 13", 1 Piece, Carbon Fiber, Student Made</t>
  </si>
  <si>
    <t>Wheel, 13", 1 Piece, Compomotive XR1380</t>
  </si>
  <si>
    <t>Wheel, 13", 1 Piece, Orbital 861, Aluminum</t>
  </si>
  <si>
    <t>Wheel, 13", 1 Piece, Volk  TE37, Aluminum</t>
  </si>
  <si>
    <t>Wheel, 13", 1 Piece, Watanabe, Magnesium, 6-Spoke, Widths 10-12</t>
  </si>
  <si>
    <t>Wheel, 13", 1 Piece, Watanabe, Magnesium, 6-Spoke, Widths 8-9.5</t>
  </si>
  <si>
    <t>Wheel, 13", 2 Piece, Braid, Formrace, Aluminum, Model 16, 6" Wide</t>
  </si>
  <si>
    <t>Wheel, 13", 3 Piece, Bogar RT-4, Aluminum</t>
  </si>
  <si>
    <t>Wheel, 13", 3 Piece, Force-Racing DSY, Aluminum</t>
  </si>
  <si>
    <t>Wheel, 13", 3 Piece, Jongbloed, Aluminum</t>
  </si>
  <si>
    <t>Wheel, 13", 3 Piece, Jongbloed, Magnesium</t>
  </si>
  <si>
    <t>Wheel, 13", 3 Piece, Keizer, Aluminum</t>
  </si>
  <si>
    <t>Wheel, 13", 3 Piece, Keizer, Magnesium</t>
  </si>
  <si>
    <t>Wheel, 13", 3 Piece, Weld, Aluminum</t>
  </si>
  <si>
    <t>Wheel, 13", BBS, Magnesium, Cast, R-RE-325</t>
  </si>
  <si>
    <t>Wheel, 13", Magnesium, BBS, Forged</t>
  </si>
  <si>
    <t>Wheel, 15", 1 Piece OEM, Aluminum</t>
  </si>
  <si>
    <t>Wheel, 15", 1 Piece OEM, Magnesium</t>
  </si>
  <si>
    <t>Wheel, 15", 1 Piece OEM, Steel</t>
  </si>
  <si>
    <t>Wheel, 15", 1 Piece, Carbon Fiber, Purchased</t>
  </si>
  <si>
    <t>Wheel, 15", 1 Piece, Carbon Fiber, Student Made</t>
  </si>
  <si>
    <t>Wheel, 8", 1 Piece, DWT, Alumalite, Aluminum, 7-8"</t>
  </si>
  <si>
    <t>Ass</t>
  </si>
  <si>
    <t>M/B</t>
  </si>
  <si>
    <t>Brass</t>
  </si>
  <si>
    <t>Bronze</t>
  </si>
  <si>
    <t>Copper</t>
  </si>
  <si>
    <t>Cork</t>
  </si>
  <si>
    <t>Inconel</t>
  </si>
  <si>
    <t>Iron</t>
  </si>
  <si>
    <t>Magnesium</t>
  </si>
  <si>
    <t>Nickel</t>
  </si>
  <si>
    <t>Rubber</t>
  </si>
  <si>
    <t>Titanium</t>
  </si>
  <si>
    <t>Aramid (Kevlar) Fiber, 1 Ply</t>
  </si>
  <si>
    <t>Basalt Fiber, 1 Ply</t>
  </si>
  <si>
    <t>Carbon Fiber, 1 Ply</t>
  </si>
  <si>
    <t>Flax Fiber, 1 Ply</t>
  </si>
  <si>
    <t>Glass Fiber, 1 Ply</t>
  </si>
  <si>
    <t>Structural Foam</t>
  </si>
  <si>
    <t>Fabric</t>
  </si>
  <si>
    <t>Glass</t>
  </si>
  <si>
    <t>Leather</t>
  </si>
  <si>
    <t>Suede</t>
  </si>
  <si>
    <t>Aluminum</t>
  </si>
  <si>
    <t>Plastic</t>
  </si>
  <si>
    <t>Steel</t>
  </si>
  <si>
    <t>Wood</t>
  </si>
  <si>
    <t>Honeycomb</t>
  </si>
  <si>
    <t>Flax Fiber</t>
  </si>
  <si>
    <t>Glass Fiber</t>
  </si>
  <si>
    <t>MATERIAL</t>
  </si>
  <si>
    <t>PROCESSES</t>
  </si>
  <si>
    <t>Basic_Forming</t>
  </si>
  <si>
    <t>Die Casting</t>
  </si>
  <si>
    <t>Investment Casting</t>
  </si>
  <si>
    <t>Plastic injection molding</t>
  </si>
  <si>
    <t>Powder Metal Forming</t>
  </si>
  <si>
    <t>Rapid Prototype - Composite</t>
  </si>
  <si>
    <t>Rapid Prototype - Metal</t>
  </si>
  <si>
    <t>Rapid Prototype - Plastic</t>
  </si>
  <si>
    <t>Sand Casting</t>
  </si>
  <si>
    <t>Vacuum Form</t>
  </si>
  <si>
    <t>Coating</t>
  </si>
  <si>
    <t>Exhaust System Ceramic Coating</t>
  </si>
  <si>
    <t>Proc.Composite</t>
  </si>
  <si>
    <t>Cure, Autoclave</t>
  </si>
  <si>
    <t>Cure, Oven</t>
  </si>
  <si>
    <t>Cure, Room Temperature</t>
  </si>
  <si>
    <t>Lamination, Fillament Winding</t>
  </si>
  <si>
    <t>Lamination, Manual</t>
  </si>
  <si>
    <t>Potting</t>
  </si>
  <si>
    <t>Resin application, Infusion Molding</t>
  </si>
  <si>
    <t>Resin application, Manual</t>
  </si>
  <si>
    <t>Electrical_Attach_Wires</t>
  </si>
  <si>
    <t>Attach Wire, Fork</t>
  </si>
  <si>
    <t>Attach Wire, Quick connect terminal</t>
  </si>
  <si>
    <t>Attach Wire, Ring</t>
  </si>
  <si>
    <t>Attach Wire, Solder wire, bent</t>
  </si>
  <si>
    <t>Attach Wire, Solder wire, not bent</t>
  </si>
  <si>
    <t>Attach Wire, Terminated wire with screw</t>
  </si>
  <si>
    <t>Attach Wire, Terminated wire with screw and nut</t>
  </si>
  <si>
    <t>Attach Wire, Wire to screw</t>
  </si>
  <si>
    <t>Attach Wire, Wire to screw with nut</t>
  </si>
  <si>
    <t>Attach Wire, Wire to terminal block</t>
  </si>
  <si>
    <t>Attach Wire, Wire wrap around terminal post</t>
  </si>
  <si>
    <t>Electrical_Bundle_Install</t>
  </si>
  <si>
    <t>Install Tie Wrap (Zip Tie, Cable Clamp)</t>
  </si>
  <si>
    <t>Wire Dressing (Install and route)</t>
  </si>
  <si>
    <t>Electrical_Bundle_Processing</t>
  </si>
  <si>
    <t>Insert Bundle Into Tube or Sleeve</t>
  </si>
  <si>
    <t>Install Adhesive Cable Clamp</t>
  </si>
  <si>
    <t>Lace</t>
  </si>
  <si>
    <t>Shrink Tube</t>
  </si>
  <si>
    <t>Taping Wire Bundle</t>
  </si>
  <si>
    <t>Electrical_Connections</t>
  </si>
  <si>
    <t>Connector Install, Circular, Bayonet</t>
  </si>
  <si>
    <t>Connector Install, Circular, Friction</t>
  </si>
  <si>
    <t>Connector Install, Circular, Screw Thread</t>
  </si>
  <si>
    <t>Connector Install, Square, Friction</t>
  </si>
  <si>
    <t>Connector Install, Square, Latch/Snap-on Type</t>
  </si>
  <si>
    <t>Connector Install, Square, Screw (x2)</t>
  </si>
  <si>
    <t>Connector Install, Square, Spring Clip</t>
  </si>
  <si>
    <t>Electrical_Layouts</t>
  </si>
  <si>
    <t>Lay Wire - Control</t>
  </si>
  <si>
    <t>Lay Wire - Power</t>
  </si>
  <si>
    <t>Lay Wire - Signal</t>
  </si>
  <si>
    <t>Electrical_Prep</t>
  </si>
  <si>
    <t>Crimp Wire</t>
  </si>
  <si>
    <t>Cut wire</t>
  </si>
  <si>
    <t>Strip Multi-Conductor</t>
  </si>
  <si>
    <t>Strip Wire</t>
  </si>
  <si>
    <t>Tin Wire</t>
  </si>
  <si>
    <t>Electrical_Wire_in_Connector</t>
  </si>
  <si>
    <t>Connector Assembley, Crimp</t>
  </si>
  <si>
    <t>Connector Assembley, Solder</t>
  </si>
  <si>
    <t>Hand - Start Only</t>
  </si>
  <si>
    <t>Hand, Loose &lt;= 25.4 mm</t>
  </si>
  <si>
    <t>Hand, Loose &lt;= 6.35 mm</t>
  </si>
  <si>
    <t>Hand, Loose &gt; 25.4 mm</t>
  </si>
  <si>
    <t>Hand, Tight &lt;= 6.35 mm</t>
  </si>
  <si>
    <t>Power Tool &lt;= 25.4 mm</t>
  </si>
  <si>
    <t>Power Tool &lt;= 6.35 mm</t>
  </si>
  <si>
    <t>Power Tool &gt; 25.4 mm</t>
  </si>
  <si>
    <t>Ratchet &lt;= 25.4 mm</t>
  </si>
  <si>
    <t>Ratchet &lt;= 6.35 mm</t>
  </si>
  <si>
    <t>Ratchet &gt; 25.4 mm</t>
  </si>
  <si>
    <t>Reaction Tool &lt;= 25.4 mm</t>
  </si>
  <si>
    <t>Reaction Tool &lt;= 6.35 mm</t>
  </si>
  <si>
    <t>Reaction Tool &gt; 25.4 mm</t>
  </si>
  <si>
    <t>Screwdriver &lt; 1 Turn</t>
  </si>
  <si>
    <t>Screwdriver &gt; 1 Turn</t>
  </si>
  <si>
    <t>Wrench &lt;= 25.4 mm</t>
  </si>
  <si>
    <t>Wrench &lt;= 6.35 mm</t>
  </si>
  <si>
    <t>Wrench &gt; 25.4 mm</t>
  </si>
  <si>
    <t>Joining</t>
  </si>
  <si>
    <t>Braze</t>
  </si>
  <si>
    <t>Sewing</t>
  </si>
  <si>
    <t>Labor</t>
  </si>
  <si>
    <t>Adjustment - Misc.</t>
  </si>
  <si>
    <t>Aerosol Apply</t>
  </si>
  <si>
    <t>Annodize</t>
  </si>
  <si>
    <t>Assemble, &gt;20 kg, Interference</t>
  </si>
  <si>
    <t>Assemble, &gt;20 kg, Line-on-Line</t>
  </si>
  <si>
    <t>Assemble, &gt;20 kg, Loose</t>
  </si>
  <si>
    <t>Assemble, 1 kg, Interference</t>
  </si>
  <si>
    <t>Assemble, 1 kg, Line-on-Line</t>
  </si>
  <si>
    <t>Assemble, 1 kg, Loose</t>
  </si>
  <si>
    <t>Assemble, 10 kg, Interference</t>
  </si>
  <si>
    <t>Assemble, 10 kg, Line-on-Line</t>
  </si>
  <si>
    <t>Assemble, 10 kg, Loose</t>
  </si>
  <si>
    <t>Assemble, 15 kg, Interference</t>
  </si>
  <si>
    <t>Assemble, 15 kg, Line-on-Line</t>
  </si>
  <si>
    <t>Assemble, 15 kg, Loose</t>
  </si>
  <si>
    <t>Assemble, 20 kg, Interference</t>
  </si>
  <si>
    <t>Assemble, 20 kg, Line-on-Line</t>
  </si>
  <si>
    <t>Assemble, 20 kg, Loose</t>
  </si>
  <si>
    <t>Assemble, 3 kg, Interference</t>
  </si>
  <si>
    <t>Assemble, 3 kg, Line-on-Line</t>
  </si>
  <si>
    <t>Assemble, 3 kg, Loose</t>
  </si>
  <si>
    <t>Assemble, 5 kg, Interference</t>
  </si>
  <si>
    <t>Assemble, 5 kg, Line-on-Line</t>
  </si>
  <si>
    <t>Assemble, 5 kg, Loose</t>
  </si>
  <si>
    <t>Brake Bleed - Per Bleeder Valve</t>
  </si>
  <si>
    <t>Brush Apply</t>
  </si>
  <si>
    <t>Chrome plating</t>
  </si>
  <si>
    <t>Cut (scissors, knife)</t>
  </si>
  <si>
    <t>Engine first start, includes fuel</t>
  </si>
  <si>
    <t>Galvanize coating</t>
  </si>
  <si>
    <t>Heat Treatment</t>
  </si>
  <si>
    <t>Liquid Applicator Gun</t>
  </si>
  <si>
    <t>Liquid Apply - Pour Expanding Foam</t>
  </si>
  <si>
    <t>Liquid Apply - Spot</t>
  </si>
  <si>
    <t>Machining Setup, Change</t>
  </si>
  <si>
    <t>Machining Setup, Install and remove</t>
  </si>
  <si>
    <t>Riveting</t>
  </si>
  <si>
    <t>Safety Wire, Install</t>
  </si>
  <si>
    <t>Suspension Setup - Solid Axle (per corner)</t>
  </si>
  <si>
    <t>Suspension Setup-Independent Susp. (per corner)</t>
  </si>
  <si>
    <t>Material Removal</t>
  </si>
  <si>
    <t>Broach, External</t>
  </si>
  <si>
    <t>Broach, Internal</t>
  </si>
  <si>
    <t>Drilled hole &lt; 50.8 mm dia.</t>
  </si>
  <si>
    <t>Drilled holes &lt; 25.4 mm dia.</t>
  </si>
  <si>
    <t>EDM - Plunge</t>
  </si>
  <si>
    <t>EDM - Wire</t>
  </si>
  <si>
    <t>Gear Shaping (hobbing)</t>
  </si>
  <si>
    <t>Grind, Cylindrical</t>
  </si>
  <si>
    <t>Grind, Flat</t>
  </si>
  <si>
    <t>Grind, Profile</t>
  </si>
  <si>
    <t>Hand Finish - Material Removal</t>
  </si>
  <si>
    <t>Hand Finish - Surface Preperation</t>
  </si>
  <si>
    <t>Knurling</t>
  </si>
  <si>
    <t>Laser Cut</t>
  </si>
  <si>
    <t>Machining</t>
  </si>
  <si>
    <t>Mill - Form Cutter</t>
  </si>
  <si>
    <t>Non-metallic cutting &lt;= 25.4 mm</t>
  </si>
  <si>
    <t>Non-metallic cutting &lt;= 50.8 mm</t>
  </si>
  <si>
    <t>Non-metallic cutting &lt;= 76.2 mm</t>
  </si>
  <si>
    <t>Non-metallic cutting &gt; 76.2 mm</t>
  </si>
  <si>
    <t>Plasma Cutting</t>
  </si>
  <si>
    <t>Reemed hole</t>
  </si>
  <si>
    <t>Saw or tubing cuts</t>
  </si>
  <si>
    <t>Tapping holes</t>
  </si>
  <si>
    <t>Threading, External (machining)</t>
  </si>
  <si>
    <t>Threading, Internal (machining)</t>
  </si>
  <si>
    <t>Waterjet Cut</t>
  </si>
  <si>
    <t>Shaping</t>
  </si>
  <si>
    <t>Spinning, Metal</t>
  </si>
  <si>
    <t>SheetMaterials</t>
  </si>
  <si>
    <t>Sheet metal bends</t>
  </si>
  <si>
    <t>Sheet metal punching</t>
  </si>
  <si>
    <t>Sheet Metal Saw Cut</t>
  </si>
  <si>
    <t>Sheet metal shearing</t>
  </si>
  <si>
    <t>Sheet metal stamping</t>
  </si>
  <si>
    <t>Tubing</t>
  </si>
  <si>
    <t>Tube bends</t>
  </si>
  <si>
    <t>Tube cut</t>
  </si>
  <si>
    <t>Tube end preperation for welding</t>
  </si>
  <si>
    <t>Tube Flare/Bead</t>
  </si>
  <si>
    <t>Weld - Round Tubing</t>
  </si>
  <si>
    <t>FASTENERS</t>
  </si>
  <si>
    <t>TOOLING</t>
  </si>
  <si>
    <t>Ceramic Matrix</t>
  </si>
  <si>
    <t>Composite, 1 Ply</t>
  </si>
  <si>
    <t>Control Unit (bought)</t>
  </si>
  <si>
    <t>Control Unit (made)</t>
  </si>
  <si>
    <t>Electronic Component</t>
  </si>
  <si>
    <t>Magnet</t>
  </si>
  <si>
    <t>Motor, Non Tractive</t>
  </si>
  <si>
    <t>Polypropylene</t>
  </si>
  <si>
    <t>Sensor Unit (Made)</t>
  </si>
  <si>
    <t>Sensor Unit (Bought)</t>
  </si>
  <si>
    <t>Wheel (complete)</t>
  </si>
  <si>
    <t>Wheel (Center)</t>
  </si>
  <si>
    <t>Wheel Shells</t>
  </si>
  <si>
    <t>Assemble</t>
  </si>
  <si>
    <t>Attach wire</t>
  </si>
  <si>
    <t>Brake Bleed - Per Bleed Valve</t>
  </si>
  <si>
    <t>Broach</t>
  </si>
  <si>
    <t>Casting</t>
  </si>
  <si>
    <t>Connector Assembly</t>
  </si>
  <si>
    <t>Connector Instal</t>
  </si>
  <si>
    <t>Cure</t>
  </si>
  <si>
    <t>Cutting (Manual)</t>
  </si>
  <si>
    <t>Drilled hole</t>
  </si>
  <si>
    <t>Engine First start</t>
  </si>
  <si>
    <t>Fastener Install (every)</t>
  </si>
  <si>
    <t>Grinding</t>
  </si>
  <si>
    <t>Hand Finish</t>
  </si>
  <si>
    <t>Heat treatment</t>
  </si>
  <si>
    <t>Lamination</t>
  </si>
  <si>
    <t>Rapid Prototype</t>
  </si>
  <si>
    <t>Plastic Injection Molding</t>
  </si>
  <si>
    <t>Reemed Hole</t>
  </si>
  <si>
    <t>Resin Application</t>
  </si>
  <si>
    <t>Sheet metal Process</t>
  </si>
  <si>
    <t>Strip, Multi  - Conductor</t>
  </si>
  <si>
    <t>Suspension Setup - Independent Susp. (per corner)</t>
  </si>
  <si>
    <t>Tapping Holes</t>
  </si>
  <si>
    <t>Threading</t>
  </si>
  <si>
    <t>Tube Process</t>
  </si>
  <si>
    <t>Wire Dressing (Install and Route)</t>
  </si>
  <si>
    <t>Wire Process</t>
  </si>
  <si>
    <t>Other</t>
  </si>
  <si>
    <t>Bolt</t>
  </si>
  <si>
    <t>Hose Clamp</t>
  </si>
  <si>
    <t>Nut</t>
  </si>
  <si>
    <t>Plumping</t>
  </si>
  <si>
    <t>Retaining Ring</t>
  </si>
  <si>
    <t>Snap</t>
  </si>
  <si>
    <t>Straps</t>
  </si>
  <si>
    <t>Washer</t>
  </si>
  <si>
    <t>Rivet</t>
  </si>
  <si>
    <t>Tie wrap</t>
  </si>
  <si>
    <t>Braze Fixure</t>
  </si>
  <si>
    <t>Injection Molding</t>
  </si>
  <si>
    <t>Lamination - Aluminum Tool</t>
  </si>
  <si>
    <t>Lamination - Composite Tool</t>
  </si>
  <si>
    <t>Lamination - Steel Tool</t>
  </si>
  <si>
    <t>Liquid Apply Tooling</t>
  </si>
  <si>
    <t>Welding Fixure</t>
  </si>
  <si>
    <t>BOUGHT</t>
  </si>
  <si>
    <r>
      <t xml:space="preserve">Cost
</t>
    </r>
    <r>
      <rPr>
        <b/>
        <sz val="8"/>
        <color theme="1"/>
        <rFont val="Arial"/>
        <family val="2"/>
        <charset val="161"/>
      </rPr>
      <t>(per piece)</t>
    </r>
  </si>
  <si>
    <t>Total</t>
  </si>
  <si>
    <t>Insert New Assembly</t>
  </si>
  <si>
    <t>Click Anywhere</t>
  </si>
  <si>
    <t>Hit the "New Assemby Button"</t>
  </si>
  <si>
    <t>Insert New Part</t>
  </si>
  <si>
    <t>Complete user form</t>
  </si>
  <si>
    <t>Click Add</t>
  </si>
  <si>
    <t>Select Assembly in which you would like to add a new part</t>
  </si>
  <si>
    <t>Click "New Part" Button</t>
  </si>
  <si>
    <t>Insert Material/Process/Fastener/Tooling</t>
  </si>
  <si>
    <t>Select the part you wish to add M/P/F/T entry to</t>
  </si>
  <si>
    <t>Click "M/P/F/T/" Button</t>
  </si>
  <si>
    <t>Click "Add" Button</t>
  </si>
  <si>
    <t>Formula Student 2018: 11-15 July 2018</t>
  </si>
  <si>
    <t>EDIT</t>
  </si>
  <si>
    <t xml:space="preserve">You can edit by clicking on cell </t>
  </si>
  <si>
    <t>Keep default empty cells empty</t>
  </si>
  <si>
    <t>Do not delete assemblies headlines</t>
  </si>
  <si>
    <t>GUIDELINES</t>
  </si>
  <si>
    <t>Click calculate button to refresh cost calculations in your BOM</t>
  </si>
  <si>
    <r>
      <t xml:space="preserve">Do not edit assembly headline rows </t>
    </r>
    <r>
      <rPr>
        <b/>
        <i/>
        <sz val="10"/>
        <color theme="1"/>
        <rFont val="Arial"/>
        <family val="2"/>
        <charset val="161"/>
      </rPr>
      <t>(Total Cost etc.)</t>
    </r>
  </si>
  <si>
    <t>In case of error click "End" in dialog box</t>
  </si>
  <si>
    <t>Change macro settings in the Trust Center</t>
  </si>
  <si>
    <t>Macro settings are located in the Trust Center. However, if you work in an organization, the system administrator might have changed the default settings to prevent anyone from changing settings.</t>
  </si>
  <si>
    <r>
      <t>Important:</t>
    </r>
    <r>
      <rPr>
        <sz val="15.4"/>
        <color rgb="FF2F2F2F"/>
        <rFont val="Segoe UI"/>
        <family val="2"/>
        <charset val="161"/>
      </rPr>
      <t> When you change your macro settings in the Trust Center, they are changed only for the Office program that you are currently using. The macro settings are not changed for all your Office programs.</t>
    </r>
  </si>
  <si>
    <r>
      <t>1. Click the </t>
    </r>
    <r>
      <rPr>
        <b/>
        <sz val="11"/>
        <color rgb="FF2F2F2F"/>
        <rFont val="Segoe UI"/>
        <family val="2"/>
        <charset val="161"/>
      </rPr>
      <t>File</t>
    </r>
    <r>
      <rPr>
        <sz val="11"/>
        <color rgb="FF2F2F2F"/>
        <rFont val="Segoe UI"/>
        <family val="2"/>
        <charset val="161"/>
      </rPr>
      <t> tab.</t>
    </r>
  </si>
  <si>
    <r>
      <t>2. Click </t>
    </r>
    <r>
      <rPr>
        <b/>
        <sz val="11"/>
        <color rgb="FF2F2F2F"/>
        <rFont val="Segoe UI"/>
        <family val="2"/>
        <charset val="161"/>
      </rPr>
      <t>Options</t>
    </r>
    <r>
      <rPr>
        <sz val="11"/>
        <color rgb="FF2F2F2F"/>
        <rFont val="Segoe UI"/>
        <family val="2"/>
        <charset val="161"/>
      </rPr>
      <t>.</t>
    </r>
  </si>
  <si>
    <r>
      <t>3. Click </t>
    </r>
    <r>
      <rPr>
        <b/>
        <sz val="11"/>
        <color rgb="FF2F2F2F"/>
        <rFont val="Segoe UI"/>
        <family val="2"/>
        <charset val="161"/>
      </rPr>
      <t>Trust Center</t>
    </r>
    <r>
      <rPr>
        <sz val="11"/>
        <color rgb="FF2F2F2F"/>
        <rFont val="Segoe UI"/>
        <family val="2"/>
        <charset val="161"/>
      </rPr>
      <t>, and then click </t>
    </r>
    <r>
      <rPr>
        <b/>
        <sz val="11"/>
        <color rgb="FF2F2F2F"/>
        <rFont val="Segoe UI"/>
        <family val="2"/>
        <charset val="161"/>
      </rPr>
      <t>Trust Center Settings</t>
    </r>
    <r>
      <rPr>
        <sz val="11"/>
        <color rgb="FF2F2F2F"/>
        <rFont val="Segoe UI"/>
        <family val="2"/>
        <charset val="161"/>
      </rPr>
      <t>.</t>
    </r>
  </si>
  <si>
    <r>
      <t>4. In the </t>
    </r>
    <r>
      <rPr>
        <b/>
        <sz val="11"/>
        <color rgb="FF2F2F2F"/>
        <rFont val="Segoe UI"/>
        <family val="2"/>
        <charset val="161"/>
      </rPr>
      <t>Trust Center</t>
    </r>
    <r>
      <rPr>
        <sz val="11"/>
        <color rgb="FF2F2F2F"/>
        <rFont val="Segoe UI"/>
        <family val="2"/>
        <charset val="161"/>
      </rPr>
      <t>, click </t>
    </r>
    <r>
      <rPr>
        <b/>
        <sz val="11"/>
        <color rgb="FF2F2F2F"/>
        <rFont val="Segoe UI"/>
        <family val="2"/>
        <charset val="161"/>
      </rPr>
      <t>Macro Settings</t>
    </r>
    <r>
      <rPr>
        <sz val="11"/>
        <color rgb="FF2F2F2F"/>
        <rFont val="Segoe UI"/>
        <family val="2"/>
        <charset val="161"/>
      </rPr>
      <t>.</t>
    </r>
  </si>
  <si>
    <r>
      <t>6. Click </t>
    </r>
    <r>
      <rPr>
        <b/>
        <sz val="11"/>
        <color rgb="FF2F2F2F"/>
        <rFont val="Segoe UI"/>
        <family val="2"/>
        <charset val="161"/>
      </rPr>
      <t>OK</t>
    </r>
    <r>
      <rPr>
        <sz val="11"/>
        <color rgb="FF2F2F2F"/>
        <rFont val="Segoe UI"/>
        <family val="2"/>
        <charset val="161"/>
      </rPr>
      <t>.</t>
    </r>
  </si>
  <si>
    <r>
      <t>The following image is the </t>
    </r>
    <r>
      <rPr>
        <b/>
        <sz val="17.600000000000001"/>
        <color rgb="FF2F2F2F"/>
        <rFont val="Segoe UI"/>
        <family val="2"/>
        <charset val="161"/>
      </rPr>
      <t>Macro Settings</t>
    </r>
    <r>
      <rPr>
        <sz val="17.600000000000001"/>
        <color rgb="FF2F2F2F"/>
        <rFont val="Segoe UI"/>
        <family val="2"/>
        <charset val="161"/>
      </rPr>
      <t> area of the Trust Center.</t>
    </r>
  </si>
  <si>
    <t>Read Macros tab in order to enable macros in your excel</t>
  </si>
  <si>
    <t>#</t>
  </si>
  <si>
    <t>Status</t>
  </si>
  <si>
    <t>Error</t>
  </si>
  <si>
    <t>Fixed</t>
  </si>
  <si>
    <t>Remove Driverless Sub-assembly</t>
  </si>
  <si>
    <t>Add MPFT error on Option Button 1 - deleted</t>
  </si>
  <si>
    <t>Add assembly - Wrong alert for filling details - check values according to M or B</t>
  </si>
  <si>
    <t xml:space="preserve">Add assembly - Wrong alert for filling details - except cost * comments from necessary fields </t>
  </si>
  <si>
    <t>Delete - Delete +1 empty row - Maintain layout</t>
  </si>
  <si>
    <t>Other as last option in all drop down menus</t>
  </si>
  <si>
    <t>Lock cells to maintain layout (locked Rows 1-3, Assembly head lines )</t>
  </si>
  <si>
    <t>MPFT</t>
  </si>
  <si>
    <t>Error handler</t>
  </si>
  <si>
    <t>Cover photo - Car Photo
Insert&gt;Picture</t>
  </si>
  <si>
    <t>FRAME &amp; BODY</t>
  </si>
  <si>
    <t>Start with Add New Assembly!</t>
  </si>
  <si>
    <t>Calculate</t>
  </si>
  <si>
    <t>Click somewhere in the system you want to calculate</t>
  </si>
  <si>
    <t>Click "Calculate" button</t>
  </si>
  <si>
    <t>Number Formatting 888,888.99 €</t>
  </si>
  <si>
    <t>5. Make the selections"Enable all macros".</t>
  </si>
  <si>
    <t>comments</t>
  </si>
  <si>
    <t>part comments</t>
  </si>
  <si>
    <t>m</t>
  </si>
  <si>
    <t>MS-A-0501</t>
  </si>
  <si>
    <t>MS-501-011</t>
  </si>
  <si>
    <t>M</t>
  </si>
  <si>
    <t>Material Input</t>
  </si>
  <si>
    <t>cost comments</t>
  </si>
  <si>
    <t>MS-501-011-01</t>
  </si>
  <si>
    <t>F</t>
  </si>
  <si>
    <t>MS-501-011-02</t>
  </si>
  <si>
    <t>b</t>
  </si>
  <si>
    <t>MS-501-012</t>
  </si>
  <si>
    <t>Bought Part 2</t>
  </si>
  <si>
    <t>MS-501-013</t>
  </si>
  <si>
    <t>needs MPFTs to have cost</t>
  </si>
  <si>
    <t>MS-501-014</t>
  </si>
  <si>
    <t>P</t>
  </si>
  <si>
    <t>MS-501-014-03</t>
  </si>
  <si>
    <t>Made Part 1</t>
  </si>
  <si>
    <t>Bought Part 1</t>
  </si>
  <si>
    <t xml:space="preserve">Made Part 2 </t>
  </si>
  <si>
    <t>Misc. Assembly</t>
  </si>
  <si>
    <t>DELETE</t>
  </si>
  <si>
    <t>Choose an assembly, part, of MPFT to delete.</t>
  </si>
  <si>
    <t>Click on its name</t>
  </si>
  <si>
    <t>Click "Delete" button</t>
  </si>
  <si>
    <t>** Delete button deletes the entire entry, entire rows.</t>
  </si>
  <si>
    <t>* It is recommended to use delete button to delete any input in order to maintain template's structure</t>
  </si>
  <si>
    <t>Yellow cells must be indiacted as blank. Cells with orange lettering could be blank but is up to you!
Sub system colored cells should also be blank according to this example.</t>
  </si>
  <si>
    <t>ST-A-0600</t>
  </si>
  <si>
    <t>ST-600-010</t>
  </si>
  <si>
    <t xml:space="preserve">AISI 4340 Steel </t>
  </si>
  <si>
    <t>ST-600-010-01</t>
  </si>
  <si>
    <t>ST-600-010-02</t>
  </si>
  <si>
    <t>Gear hobbing</t>
  </si>
  <si>
    <t>ST-600-010-03</t>
  </si>
  <si>
    <t>D6 Hole</t>
  </si>
  <si>
    <t>ST-600-010-04</t>
  </si>
  <si>
    <t>M8 Thread</t>
  </si>
  <si>
    <t>ST-600-010-05</t>
  </si>
  <si>
    <t>Milling</t>
  </si>
  <si>
    <t>Turning</t>
  </si>
  <si>
    <t>ST-600-010-06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</si>
</sst>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 #,##0.00_);_(* \(#,##0.00\);_(* &quot;-&quot;??_);_(@_)"/>
    <numFmt numFmtId="166" formatCode="&quot;$&quot;#,##0.00"/>
    <numFmt numFmtId="167" formatCode="[$€-2]\ #,##0.00"/>
  </numFmts>
  <fonts count="53">
    <font>
      <sz val="11"/>
      <color theme="1"/>
      <name val="Calibri"/>
      <family val="2"/>
      <scheme val="minor"/>
    </font>
    <font>
      <sz val="11"/>
      <color theme="1"/>
      <name val="Calibri"/>
      <family val="2"/>
      <scheme val="minor"/>
    </font>
    <font>
      <sz val="11"/>
      <color rgb="FF006100"/>
      <name val="Calibri"/>
      <family val="2"/>
      <scheme val="minor"/>
    </font>
    <font>
      <sz val="11"/>
      <color theme="1"/>
      <name val="Arial"/>
      <family val="2"/>
      <charset val="161"/>
    </font>
    <font>
      <sz val="11"/>
      <color rgb="FF000000"/>
      <name val="Calibri"/>
      <family val="2"/>
    </font>
    <font>
      <sz val="10"/>
      <name val="MS Sans Serif"/>
      <family val="2"/>
    </font>
    <font>
      <sz val="11"/>
      <color indexed="17"/>
      <name val="Calibri"/>
      <family val="2"/>
    </font>
    <font>
      <sz val="11"/>
      <color indexed="8"/>
      <name val="Calibri"/>
      <family val="2"/>
    </font>
    <font>
      <sz val="10"/>
      <name val="Arial"/>
      <family val="2"/>
    </font>
    <font>
      <sz val="10"/>
      <color theme="1"/>
      <name val="Arial"/>
      <family val="2"/>
      <charset val="161"/>
    </font>
    <font>
      <b/>
      <sz val="11"/>
      <color theme="1"/>
      <name val="Arial"/>
      <family val="2"/>
      <charset val="161"/>
    </font>
    <font>
      <b/>
      <sz val="11"/>
      <color theme="1" tint="0.34998626667073579"/>
      <name val="Arial"/>
      <family val="2"/>
      <charset val="161"/>
    </font>
    <font>
      <b/>
      <sz val="10"/>
      <color theme="1" tint="0.34998626667073579"/>
      <name val="Arial"/>
      <family val="2"/>
      <charset val="161"/>
    </font>
    <font>
      <b/>
      <sz val="11"/>
      <name val="Arial"/>
      <family val="2"/>
      <charset val="161"/>
    </font>
    <font>
      <b/>
      <sz val="11"/>
      <color rgb="FFC0C0C0"/>
      <name val="Arial"/>
      <family val="2"/>
      <charset val="161"/>
    </font>
    <font>
      <sz val="11"/>
      <color theme="1"/>
      <name val="Code 2000"/>
    </font>
    <font>
      <i/>
      <sz val="10"/>
      <color theme="1"/>
      <name val="Arial"/>
      <family val="2"/>
      <charset val="161"/>
    </font>
    <font>
      <b/>
      <i/>
      <sz val="10"/>
      <color theme="1" tint="0.34998626667073579"/>
      <name val="Arial"/>
      <family val="2"/>
      <charset val="161"/>
    </font>
    <font>
      <b/>
      <i/>
      <sz val="10"/>
      <color theme="1"/>
      <name val="Arial"/>
      <family val="2"/>
      <charset val="161"/>
    </font>
    <font>
      <b/>
      <i/>
      <sz val="9"/>
      <color theme="1" tint="0.34998626667073579"/>
      <name val="Arial"/>
      <family val="2"/>
      <charset val="161"/>
    </font>
    <font>
      <i/>
      <sz val="9"/>
      <color theme="1"/>
      <name val="Arial"/>
      <family val="2"/>
      <charset val="161"/>
    </font>
    <font>
      <sz val="11"/>
      <name val="Arial"/>
      <family val="2"/>
      <charset val="161"/>
    </font>
    <font>
      <sz val="12"/>
      <color indexed="8"/>
      <name val="Arial"/>
      <family val="2"/>
      <charset val="161"/>
    </font>
    <font>
      <sz val="10"/>
      <color indexed="8"/>
      <name val="Arial"/>
      <family val="2"/>
    </font>
    <font>
      <sz val="11"/>
      <color indexed="8"/>
      <name val="Arial"/>
      <family val="2"/>
      <charset val="161"/>
    </font>
    <font>
      <sz val="9"/>
      <color theme="1"/>
      <name val="Arial"/>
      <family val="2"/>
      <charset val="161"/>
    </font>
    <font>
      <b/>
      <sz val="8"/>
      <color theme="1"/>
      <name val="Arial"/>
      <family val="2"/>
      <charset val="161"/>
    </font>
    <font>
      <b/>
      <sz val="14"/>
      <color theme="1" tint="0.34998626667073579"/>
      <name val="Arial"/>
      <family val="2"/>
      <charset val="161"/>
    </font>
    <font>
      <b/>
      <sz val="12"/>
      <color theme="1" tint="0.34998626667073579"/>
      <name val="Arial"/>
      <family val="2"/>
      <charset val="161"/>
    </font>
    <font>
      <b/>
      <i/>
      <sz val="12"/>
      <color theme="1" tint="0.34998626667073579"/>
      <name val="Arial"/>
      <family val="2"/>
      <charset val="161"/>
    </font>
    <font>
      <i/>
      <sz val="11"/>
      <color theme="1"/>
      <name val="Calibri"/>
      <family val="2"/>
      <charset val="161"/>
      <scheme val="minor"/>
    </font>
    <font>
      <sz val="22"/>
      <color rgb="FFF73547"/>
      <name val="Arial"/>
      <family val="2"/>
      <charset val="161"/>
    </font>
    <font>
      <u val="double"/>
      <sz val="11"/>
      <color theme="1"/>
      <name val="Arial"/>
      <family val="2"/>
      <charset val="161"/>
    </font>
    <font>
      <b/>
      <i/>
      <sz val="11"/>
      <color theme="1"/>
      <name val="Arial"/>
      <family val="2"/>
      <charset val="161"/>
    </font>
    <font>
      <sz val="26.4"/>
      <color rgb="FF2F2F2F"/>
      <name val="Segoe UI Light"/>
      <family val="2"/>
      <charset val="161"/>
    </font>
    <font>
      <sz val="17.600000000000001"/>
      <color rgb="FF2F2F2F"/>
      <name val="Segoe UI"/>
      <family val="2"/>
      <charset val="161"/>
    </font>
    <font>
      <sz val="15.4"/>
      <color rgb="FF2F2F2F"/>
      <name val="Segoe UI"/>
      <family val="2"/>
      <charset val="161"/>
    </font>
    <font>
      <b/>
      <sz val="11"/>
      <color rgb="FF2F2F2F"/>
      <name val="Segoe UI"/>
      <family val="2"/>
      <charset val="161"/>
    </font>
    <font>
      <sz val="11"/>
      <color rgb="FF2F2F2F"/>
      <name val="Segoe UI"/>
      <family val="2"/>
      <charset val="161"/>
    </font>
    <font>
      <b/>
      <sz val="17.600000000000001"/>
      <color rgb="FF2F2F2F"/>
      <name val="Segoe UI"/>
      <family val="2"/>
      <charset val="161"/>
    </font>
    <font>
      <b/>
      <sz val="16"/>
      <color theme="1"/>
      <name val="Calibri"/>
      <family val="2"/>
      <charset val="161"/>
      <scheme val="minor"/>
    </font>
    <font>
      <b/>
      <u/>
      <sz val="11"/>
      <color theme="1"/>
      <name val="Calibri"/>
      <family val="2"/>
      <charset val="161"/>
      <scheme val="minor"/>
    </font>
    <font>
      <sz val="11"/>
      <color theme="1"/>
      <name val="Bell MT"/>
      <family val="1"/>
    </font>
    <font>
      <sz val="12"/>
      <color theme="1"/>
      <name val="Bell MT"/>
      <family val="1"/>
    </font>
    <font>
      <b/>
      <i/>
      <sz val="9"/>
      <color theme="1"/>
      <name val="Arial"/>
      <family val="2"/>
      <charset val="161"/>
    </font>
    <font>
      <b/>
      <sz val="3"/>
      <color theme="0"/>
      <name val="Arial"/>
      <family val="2"/>
      <charset val="161"/>
    </font>
    <font>
      <b/>
      <i/>
      <sz val="3"/>
      <color theme="0"/>
      <name val="Arial"/>
      <family val="2"/>
      <charset val="161"/>
    </font>
    <font>
      <b/>
      <u/>
      <sz val="11"/>
      <color rgb="FF2F2F2F"/>
      <name val="Segoe UI"/>
      <family val="2"/>
      <charset val="161"/>
    </font>
    <font>
      <i/>
      <sz val="10"/>
      <color rgb="FFFFC000"/>
      <name val="Arial"/>
      <family val="2"/>
      <charset val="161"/>
    </font>
    <font>
      <i/>
      <sz val="9"/>
      <color rgb="FFFFC000"/>
      <name val="Arial"/>
      <family val="2"/>
      <charset val="161"/>
    </font>
    <font>
      <sz val="11"/>
      <color rgb="FFFFC000"/>
      <name val="Arial"/>
      <family val="2"/>
      <charset val="161"/>
    </font>
    <font>
      <b/>
      <sz val="14"/>
      <color theme="1"/>
      <name val="Calibri"/>
      <family val="2"/>
      <charset val="161"/>
      <scheme val="minor"/>
    </font>
    <font>
      <b/>
      <sz val="11"/>
      <color rgb="FF000000"/>
      <name val="Arial"/>
      <family val="2"/>
      <charset val="162"/>
    </font>
  </fonts>
  <fills count="18">
    <fill>
      <patternFill patternType="none"/>
    </fill>
    <fill>
      <patternFill patternType="gray125"/>
    </fill>
    <fill>
      <patternFill patternType="solid">
        <fgColor rgb="FFFFFF66"/>
        <bgColor indexed="64"/>
      </patternFill>
    </fill>
    <fill>
      <patternFill patternType="solid">
        <fgColor rgb="FFC6EFCE"/>
      </patternFill>
    </fill>
    <fill>
      <patternFill patternType="solid">
        <fgColor theme="3" tint="0.59999389629810485"/>
        <bgColor indexed="64"/>
      </patternFill>
    </fill>
    <fill>
      <patternFill patternType="solid">
        <fgColor rgb="FFA9DA74"/>
        <bgColor indexed="64"/>
      </patternFill>
    </fill>
    <fill>
      <patternFill patternType="solid">
        <fgColor rgb="FFFF8F8F"/>
        <bgColor indexed="64"/>
      </patternFill>
    </fill>
    <fill>
      <patternFill patternType="solid">
        <fgColor rgb="FFFF8D3F"/>
        <bgColor indexed="64"/>
      </patternFill>
    </fill>
    <fill>
      <patternFill patternType="solid">
        <fgColor theme="8" tint="0.59999389629810485"/>
        <bgColor indexed="64"/>
      </patternFill>
    </fill>
    <fill>
      <patternFill patternType="solid">
        <fgColor rgb="FFFF9F5D"/>
        <bgColor indexed="64"/>
      </patternFill>
    </fill>
    <fill>
      <patternFill patternType="solid">
        <fgColor rgb="FFA38EBC"/>
        <bgColor indexed="64"/>
      </patternFill>
    </fill>
    <fill>
      <patternFill patternType="solid">
        <fgColor rgb="FFC0C0C0"/>
        <bgColor indexed="64"/>
      </patternFill>
    </fill>
    <fill>
      <patternFill patternType="solid">
        <fgColor theme="0"/>
        <bgColor indexed="64"/>
      </patternFill>
    </fill>
    <fill>
      <patternFill patternType="solid">
        <fgColor indexed="42"/>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66CC"/>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rgb="FFD0D7E5"/>
      </left>
      <right style="thin">
        <color rgb="FFD0D7E5"/>
      </right>
      <top style="thin">
        <color rgb="FFD0D7E5"/>
      </top>
      <bottom style="thin">
        <color rgb="FFD0D7E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22"/>
      </left>
      <right style="thin">
        <color indexed="22"/>
      </right>
      <top style="thin">
        <color indexed="22"/>
      </top>
      <bottom/>
      <diagonal/>
    </border>
    <border>
      <left/>
      <right/>
      <top/>
      <bottom style="thin">
        <color rgb="FFFF0066"/>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theme="0" tint="-4.9989318521683403E-2"/>
      </left>
      <right/>
      <top style="thick">
        <color theme="0" tint="-4.9989318521683403E-2"/>
      </top>
      <bottom style="thick">
        <color theme="0" tint="-0.24994659260841701"/>
      </bottom>
      <diagonal/>
    </border>
    <border>
      <left/>
      <right/>
      <top style="thick">
        <color theme="0" tint="-4.9989318521683403E-2"/>
      </top>
      <bottom style="thick">
        <color theme="0" tint="-0.24994659260841701"/>
      </bottom>
      <diagonal/>
    </border>
    <border>
      <left/>
      <right style="thick">
        <color theme="0" tint="-0.24994659260841701"/>
      </right>
      <top style="thick">
        <color theme="0" tint="-4.9989318521683403E-2"/>
      </top>
      <bottom style="thick">
        <color theme="0" tint="-0.24994659260841701"/>
      </bottom>
      <diagonal/>
    </border>
  </borders>
  <cellStyleXfs count="13">
    <xf numFmtId="0" fontId="0" fillId="0" borderId="0"/>
    <xf numFmtId="0" fontId="1" fillId="0" borderId="0"/>
    <xf numFmtId="164" fontId="4" fillId="12" borderId="2">
      <alignment vertical="center" wrapText="1"/>
    </xf>
    <xf numFmtId="164" fontId="2" fillId="3" borderId="1">
      <alignment vertical="center" wrapText="1"/>
    </xf>
    <xf numFmtId="0" fontId="1" fillId="0" borderId="0"/>
    <xf numFmtId="0" fontId="5" fillId="0" borderId="0"/>
    <xf numFmtId="0" fontId="6" fillId="13" borderId="0" applyNumberFormat="0" applyBorder="0" applyAlignment="0" applyProtection="0"/>
    <xf numFmtId="165" fontId="7" fillId="0" borderId="0" applyFont="0" applyFill="0" applyBorder="0" applyAlignment="0" applyProtection="0"/>
    <xf numFmtId="165" fontId="8" fillId="0" borderId="0" applyFont="0" applyFill="0" applyBorder="0" applyAlignment="0" applyProtection="0"/>
    <xf numFmtId="164" fontId="7" fillId="0" borderId="0" applyFont="0" applyFill="0" applyBorder="0" applyAlignment="0" applyProtection="0"/>
    <xf numFmtId="0" fontId="8" fillId="0" borderId="0"/>
    <xf numFmtId="166" fontId="4" fillId="0" borderId="2">
      <alignment vertical="center" wrapText="1"/>
    </xf>
    <xf numFmtId="0" fontId="23" fillId="0" borderId="0"/>
  </cellStyleXfs>
  <cellXfs count="290">
    <xf numFmtId="0" fontId="0" fillId="0" borderId="0" xfId="0"/>
    <xf numFmtId="0" fontId="3" fillId="0" borderId="0" xfId="0" applyFont="1" applyAlignment="1">
      <alignment horizontal="center"/>
    </xf>
    <xf numFmtId="0" fontId="9" fillId="0" borderId="0" xfId="0" applyFont="1" applyAlignment="1"/>
    <xf numFmtId="0" fontId="3" fillId="0" borderId="0" xfId="0" applyFont="1"/>
    <xf numFmtId="0" fontId="10" fillId="0" borderId="0" xfId="0" applyFont="1" applyAlignment="1">
      <alignment horizontal="center" wrapText="1"/>
    </xf>
    <xf numFmtId="0" fontId="10" fillId="0" borderId="0" xfId="0" applyFont="1" applyAlignment="1">
      <alignment horizontal="center"/>
    </xf>
    <xf numFmtId="0" fontId="10" fillId="0" borderId="6" xfId="0" applyFont="1" applyBorder="1" applyAlignment="1">
      <alignment horizontal="center"/>
    </xf>
    <xf numFmtId="0" fontId="3" fillId="0" borderId="6" xfId="0" applyFont="1" applyBorder="1" applyAlignment="1">
      <alignment horizontal="center"/>
    </xf>
    <xf numFmtId="0" fontId="10" fillId="0" borderId="10" xfId="0" applyFont="1" applyBorder="1" applyAlignment="1">
      <alignment horizontal="center"/>
    </xf>
    <xf numFmtId="0" fontId="10" fillId="0" borderId="8" xfId="0" applyFont="1" applyBorder="1" applyAlignment="1">
      <alignment horizontal="center"/>
    </xf>
    <xf numFmtId="0" fontId="3" fillId="0" borderId="6" xfId="0" applyFont="1" applyBorder="1"/>
    <xf numFmtId="0" fontId="3" fillId="0" borderId="10" xfId="0" applyFont="1" applyBorder="1"/>
    <xf numFmtId="0" fontId="3" fillId="0" borderId="8" xfId="0" applyFont="1" applyBorder="1"/>
    <xf numFmtId="0" fontId="3" fillId="0" borderId="7" xfId="0" applyFont="1" applyBorder="1"/>
    <xf numFmtId="0" fontId="3" fillId="0" borderId="7" xfId="0" applyFont="1" applyBorder="1" applyAlignment="1">
      <alignment horizontal="center"/>
    </xf>
    <xf numFmtId="0" fontId="3" fillId="0" borderId="11" xfId="0" applyFont="1" applyBorder="1"/>
    <xf numFmtId="0" fontId="3" fillId="0" borderId="9" xfId="0" applyFont="1" applyBorder="1"/>
    <xf numFmtId="0" fontId="3" fillId="0" borderId="0" xfId="0" applyFont="1" applyBorder="1" applyAlignment="1">
      <alignment horizontal="left"/>
    </xf>
    <xf numFmtId="0" fontId="3" fillId="0" borderId="0" xfId="0" applyFont="1" applyFill="1" applyAlignment="1">
      <alignment horizontal="center"/>
    </xf>
    <xf numFmtId="0" fontId="3" fillId="4" borderId="0" xfId="0"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10" borderId="0" xfId="0" applyFont="1" applyFill="1" applyAlignment="1">
      <alignment horizontal="center"/>
    </xf>
    <xf numFmtId="0" fontId="3" fillId="9" borderId="0" xfId="0" applyFont="1" applyFill="1" applyAlignment="1">
      <alignment horizontal="center"/>
    </xf>
    <xf numFmtId="0" fontId="3" fillId="2" borderId="0" xfId="0" applyFont="1" applyFill="1" applyAlignment="1">
      <alignment horizontal="center"/>
    </xf>
    <xf numFmtId="0" fontId="3" fillId="8" borderId="0" xfId="0" applyFont="1" applyFill="1" applyAlignment="1">
      <alignment horizontal="center"/>
    </xf>
    <xf numFmtId="0" fontId="3" fillId="11" borderId="0" xfId="0" applyFont="1" applyFill="1" applyAlignment="1">
      <alignment horizontal="center"/>
    </xf>
    <xf numFmtId="0" fontId="13" fillId="0" borderId="0" xfId="0" applyFont="1" applyAlignment="1">
      <alignment horizontal="center"/>
    </xf>
    <xf numFmtId="0" fontId="13" fillId="0" borderId="0" xfId="0" applyFont="1" applyAlignment="1">
      <alignment horizontal="left"/>
    </xf>
    <xf numFmtId="0" fontId="14" fillId="0" borderId="0" xfId="0" applyFont="1" applyAlignment="1">
      <alignment horizontal="left"/>
    </xf>
    <xf numFmtId="0" fontId="3" fillId="4" borderId="0" xfId="0" applyFont="1" applyFill="1" applyAlignment="1">
      <alignment horizontal="left"/>
    </xf>
    <xf numFmtId="0" fontId="3" fillId="0" borderId="0" xfId="0" applyFont="1" applyAlignment="1">
      <alignment horizontal="left"/>
    </xf>
    <xf numFmtId="0" fontId="3" fillId="5" borderId="0" xfId="0" applyFont="1" applyFill="1" applyAlignment="1">
      <alignment horizontal="center"/>
    </xf>
    <xf numFmtId="0" fontId="3" fillId="5" borderId="0" xfId="0" applyFont="1" applyFill="1" applyAlignment="1">
      <alignment horizontal="left"/>
    </xf>
    <xf numFmtId="0" fontId="3" fillId="6" borderId="0" xfId="0" applyFont="1" applyFill="1" applyAlignment="1">
      <alignment horizontal="left"/>
    </xf>
    <xf numFmtId="0" fontId="3" fillId="7" borderId="0" xfId="0" applyFont="1" applyFill="1" applyAlignment="1">
      <alignment horizontal="left"/>
    </xf>
    <xf numFmtId="0" fontId="3" fillId="10" borderId="0" xfId="0" applyFont="1" applyFill="1" applyAlignment="1">
      <alignment horizontal="left"/>
    </xf>
    <xf numFmtId="0" fontId="3" fillId="0" borderId="0" xfId="0" applyFont="1" applyFill="1"/>
    <xf numFmtId="0" fontId="3" fillId="0" borderId="0" xfId="0" applyFont="1" applyFill="1" applyAlignment="1">
      <alignment horizontal="left"/>
    </xf>
    <xf numFmtId="0" fontId="3" fillId="9" borderId="0" xfId="0" applyFont="1" applyFill="1" applyAlignment="1">
      <alignment horizontal="left"/>
    </xf>
    <xf numFmtId="0" fontId="3" fillId="2" borderId="0" xfId="0" applyFont="1" applyFill="1" applyAlignment="1">
      <alignment horizontal="left"/>
    </xf>
    <xf numFmtId="0" fontId="3" fillId="8" borderId="0" xfId="0" applyFont="1" applyFill="1" applyAlignment="1">
      <alignment horizontal="left"/>
    </xf>
    <xf numFmtId="0" fontId="3" fillId="11" borderId="0" xfId="0" applyFont="1" applyFill="1" applyAlignment="1">
      <alignment horizontal="left"/>
    </xf>
    <xf numFmtId="167" fontId="14" fillId="0" borderId="0" xfId="0" applyNumberFormat="1" applyFont="1" applyAlignment="1">
      <alignment horizontal="center" wrapText="1"/>
    </xf>
    <xf numFmtId="167" fontId="3" fillId="0" borderId="0" xfId="0" applyNumberFormat="1" applyFont="1" applyAlignment="1">
      <alignment horizontal="center"/>
    </xf>
    <xf numFmtId="0" fontId="0" fillId="12" borderId="0" xfId="0" applyFill="1"/>
    <xf numFmtId="0" fontId="3" fillId="0" borderId="0" xfId="0" applyFont="1" applyAlignment="1"/>
    <xf numFmtId="0" fontId="3" fillId="0" borderId="0" xfId="0" applyFont="1" applyAlignment="1">
      <alignment horizontal="right"/>
    </xf>
    <xf numFmtId="0" fontId="20" fillId="4" borderId="0" xfId="0" applyFont="1" applyFill="1" applyAlignment="1">
      <alignment horizontal="center"/>
    </xf>
    <xf numFmtId="167" fontId="20" fillId="4" borderId="0" xfId="0" applyNumberFormat="1" applyFont="1" applyFill="1" applyAlignment="1">
      <alignment horizontal="center"/>
    </xf>
    <xf numFmtId="0" fontId="20" fillId="0" borderId="0" xfId="0" applyFont="1" applyAlignment="1">
      <alignment horizontal="center"/>
    </xf>
    <xf numFmtId="167" fontId="20" fillId="0" borderId="0" xfId="0" applyNumberFormat="1" applyFont="1" applyAlignment="1">
      <alignment horizontal="center"/>
    </xf>
    <xf numFmtId="0" fontId="20" fillId="5" borderId="0" xfId="0" applyFont="1" applyFill="1" applyAlignment="1">
      <alignment horizontal="center"/>
    </xf>
    <xf numFmtId="167" fontId="20" fillId="5" borderId="0" xfId="0" applyNumberFormat="1" applyFont="1" applyFill="1" applyAlignment="1">
      <alignment horizontal="center"/>
    </xf>
    <xf numFmtId="0" fontId="20" fillId="6" borderId="0" xfId="0" applyFont="1" applyFill="1" applyAlignment="1">
      <alignment horizontal="center"/>
    </xf>
    <xf numFmtId="167" fontId="20" fillId="6" borderId="0" xfId="0" applyNumberFormat="1" applyFont="1" applyFill="1" applyAlignment="1">
      <alignment horizontal="center"/>
    </xf>
    <xf numFmtId="0" fontId="20" fillId="7" borderId="0" xfId="0" applyFont="1" applyFill="1" applyAlignment="1">
      <alignment horizontal="center"/>
    </xf>
    <xf numFmtId="167" fontId="20" fillId="7" borderId="0" xfId="0" applyNumberFormat="1" applyFont="1" applyFill="1" applyAlignment="1">
      <alignment horizontal="center"/>
    </xf>
    <xf numFmtId="0" fontId="20" fillId="10" borderId="0" xfId="0" applyFont="1" applyFill="1" applyAlignment="1">
      <alignment horizontal="center"/>
    </xf>
    <xf numFmtId="167" fontId="20" fillId="10" borderId="0" xfId="0" applyNumberFormat="1" applyFont="1" applyFill="1" applyAlignment="1">
      <alignment horizontal="center"/>
    </xf>
    <xf numFmtId="0" fontId="20" fillId="0" borderId="0" xfId="0" applyFont="1" applyFill="1" applyAlignment="1">
      <alignment horizontal="center"/>
    </xf>
    <xf numFmtId="167" fontId="20" fillId="0" borderId="0" xfId="0" applyNumberFormat="1" applyFont="1" applyFill="1" applyAlignment="1">
      <alignment horizontal="center"/>
    </xf>
    <xf numFmtId="0" fontId="20" fillId="9" borderId="0" xfId="0" applyFont="1" applyFill="1" applyAlignment="1">
      <alignment horizontal="center"/>
    </xf>
    <xf numFmtId="167" fontId="20" fillId="9" borderId="0" xfId="0" applyNumberFormat="1" applyFont="1" applyFill="1" applyAlignment="1">
      <alignment horizontal="center"/>
    </xf>
    <xf numFmtId="0" fontId="20" fillId="2" borderId="0" xfId="0" applyFont="1" applyFill="1" applyAlignment="1">
      <alignment horizontal="center"/>
    </xf>
    <xf numFmtId="167" fontId="20" fillId="2" borderId="0" xfId="0" applyNumberFormat="1" applyFont="1" applyFill="1" applyAlignment="1">
      <alignment horizontal="center"/>
    </xf>
    <xf numFmtId="0" fontId="20" fillId="8" borderId="0" xfId="0" applyFont="1" applyFill="1" applyAlignment="1">
      <alignment horizontal="center"/>
    </xf>
    <xf numFmtId="167" fontId="20" fillId="8" borderId="0" xfId="0" applyNumberFormat="1" applyFont="1" applyFill="1" applyAlignment="1">
      <alignment horizontal="center"/>
    </xf>
    <xf numFmtId="0" fontId="20" fillId="11" borderId="0" xfId="0" applyFont="1" applyFill="1" applyAlignment="1">
      <alignment horizontal="center"/>
    </xf>
    <xf numFmtId="167" fontId="20" fillId="11" borderId="0" xfId="0" applyNumberFormat="1" applyFont="1" applyFill="1" applyAlignment="1">
      <alignment horizontal="center"/>
    </xf>
    <xf numFmtId="0" fontId="21" fillId="0" borderId="12" xfId="0" applyFont="1" applyFill="1" applyBorder="1" applyAlignment="1" applyProtection="1">
      <alignment wrapText="1"/>
    </xf>
    <xf numFmtId="0" fontId="21" fillId="0" borderId="0" xfId="0" applyFont="1" applyFill="1" applyBorder="1" applyAlignment="1" applyProtection="1">
      <alignment wrapText="1"/>
    </xf>
    <xf numFmtId="0" fontId="21" fillId="16" borderId="0" xfId="0" applyFont="1" applyFill="1" applyBorder="1" applyAlignment="1" applyProtection="1">
      <alignment wrapText="1"/>
    </xf>
    <xf numFmtId="0" fontId="3" fillId="17" borderId="0" xfId="0" applyFont="1" applyFill="1" applyAlignment="1"/>
    <xf numFmtId="0" fontId="21" fillId="0" borderId="0" xfId="0" applyFont="1" applyFill="1" applyBorder="1" applyAlignment="1"/>
    <xf numFmtId="0" fontId="21" fillId="0" borderId="0" xfId="4" applyFont="1" applyFill="1" applyBorder="1" applyAlignment="1" applyProtection="1">
      <alignment wrapText="1"/>
    </xf>
    <xf numFmtId="0" fontId="21" fillId="17" borderId="0" xfId="0" applyFont="1" applyFill="1" applyBorder="1" applyAlignment="1" applyProtection="1">
      <alignment wrapText="1"/>
    </xf>
    <xf numFmtId="0" fontId="21" fillId="0" borderId="0" xfId="0" applyFont="1" applyAlignment="1"/>
    <xf numFmtId="0" fontId="21" fillId="16" borderId="0" xfId="0" applyFont="1" applyFill="1" applyBorder="1" applyAlignment="1"/>
    <xf numFmtId="0" fontId="21" fillId="0" borderId="0" xfId="0" applyFont="1" applyFill="1" applyAlignment="1"/>
    <xf numFmtId="0" fontId="21" fillId="0" borderId="0" xfId="5" applyFont="1" applyFill="1" applyBorder="1" applyAlignment="1" applyProtection="1">
      <alignment wrapText="1"/>
    </xf>
    <xf numFmtId="0" fontId="21" fillId="16" borderId="0" xfId="5" applyFont="1" applyFill="1" applyBorder="1" applyAlignment="1" applyProtection="1">
      <alignment wrapText="1"/>
    </xf>
    <xf numFmtId="0" fontId="21" fillId="12" borderId="0" xfId="0" applyFont="1" applyFill="1" applyBorder="1" applyAlignment="1" applyProtection="1">
      <alignment wrapText="1"/>
    </xf>
    <xf numFmtId="0" fontId="0" fillId="0" borderId="0" xfId="0" applyAlignment="1">
      <alignment horizontal="center"/>
    </xf>
    <xf numFmtId="0" fontId="15" fillId="0" borderId="0" xfId="0" applyNumberFormat="1" applyFont="1" applyAlignment="1">
      <alignment horizontal="center"/>
    </xf>
    <xf numFmtId="0" fontId="3" fillId="0" borderId="0" xfId="0" applyNumberFormat="1" applyFont="1" applyAlignment="1">
      <alignment horizontal="center"/>
    </xf>
    <xf numFmtId="0" fontId="24" fillId="0" borderId="1" xfId="12" applyFont="1" applyFill="1" applyBorder="1" applyAlignment="1">
      <alignment wrapText="1"/>
    </xf>
    <xf numFmtId="0" fontId="24" fillId="0" borderId="12" xfId="12" applyFont="1" applyFill="1" applyBorder="1" applyAlignment="1"/>
    <xf numFmtId="0" fontId="24" fillId="0" borderId="0" xfId="12" applyFont="1" applyFill="1" applyBorder="1" applyAlignment="1"/>
    <xf numFmtId="0" fontId="24" fillId="16" borderId="0" xfId="12" applyFont="1" applyFill="1" applyBorder="1" applyAlignment="1"/>
    <xf numFmtId="0" fontId="3" fillId="17" borderId="0" xfId="0" applyFont="1" applyFill="1" applyBorder="1" applyAlignment="1">
      <alignment horizontal="left"/>
    </xf>
    <xf numFmtId="0" fontId="3" fillId="17" borderId="0" xfId="0" applyFont="1" applyFill="1" applyBorder="1" applyAlignment="1"/>
    <xf numFmtId="0" fontId="24" fillId="0" borderId="0" xfId="12" applyFont="1" applyFill="1" applyBorder="1" applyAlignment="1">
      <alignment horizontal="left"/>
    </xf>
    <xf numFmtId="0" fontId="24" fillId="16" borderId="0" xfId="12" applyFont="1" applyFill="1" applyBorder="1" applyAlignment="1">
      <alignment horizontal="left"/>
    </xf>
    <xf numFmtId="0" fontId="3" fillId="16" borderId="0" xfId="0" applyFont="1" applyFill="1" applyAlignment="1">
      <alignment horizontal="center"/>
    </xf>
    <xf numFmtId="0" fontId="3" fillId="15" borderId="0" xfId="0" applyFont="1" applyFill="1" applyAlignment="1">
      <alignment horizontal="center"/>
    </xf>
    <xf numFmtId="0" fontId="3" fillId="0" borderId="0" xfId="0" applyFont="1" applyBorder="1" applyProtection="1">
      <protection locked="0"/>
    </xf>
    <xf numFmtId="0" fontId="3" fillId="0" borderId="0" xfId="0" applyFont="1" applyBorder="1" applyAlignment="1" applyProtection="1">
      <alignment horizontal="left"/>
      <protection locked="0"/>
    </xf>
    <xf numFmtId="0" fontId="3" fillId="0" borderId="0" xfId="0" applyFont="1" applyBorder="1" applyAlignment="1" applyProtection="1">
      <alignment horizontal="center"/>
      <protection locked="0"/>
    </xf>
    <xf numFmtId="0" fontId="20" fillId="0" borderId="0" xfId="0" applyFont="1" applyBorder="1" applyAlignment="1" applyProtection="1">
      <alignment horizontal="center"/>
      <protection locked="0"/>
    </xf>
    <xf numFmtId="167" fontId="20" fillId="0" borderId="0" xfId="0" applyNumberFormat="1" applyFont="1" applyBorder="1" applyAlignment="1" applyProtection="1">
      <alignment horizontal="center"/>
      <protection locked="0"/>
    </xf>
    <xf numFmtId="0" fontId="16" fillId="0" borderId="0" xfId="0" applyFont="1" applyBorder="1" applyAlignment="1" applyProtection="1">
      <alignment horizontal="left"/>
      <protection locked="0"/>
    </xf>
    <xf numFmtId="0" fontId="3" fillId="0" borderId="0" xfId="0" applyFont="1" applyFill="1" applyBorder="1" applyProtection="1">
      <protection locked="0"/>
    </xf>
    <xf numFmtId="0" fontId="11" fillId="0" borderId="0" xfId="0" applyFont="1" applyBorder="1" applyProtection="1">
      <protection locked="0"/>
    </xf>
    <xf numFmtId="0" fontId="12" fillId="0" borderId="0" xfId="0" applyFont="1" applyBorder="1" applyProtection="1">
      <protection locked="0"/>
    </xf>
    <xf numFmtId="0" fontId="12" fillId="0" borderId="0" xfId="0" applyFont="1" applyBorder="1" applyAlignment="1" applyProtection="1">
      <alignment horizontal="left"/>
      <protection locked="0"/>
    </xf>
    <xf numFmtId="0" fontId="12" fillId="0" borderId="0" xfId="0" applyFont="1" applyBorder="1" applyAlignment="1" applyProtection="1">
      <alignment horizontal="center"/>
      <protection locked="0"/>
    </xf>
    <xf numFmtId="0" fontId="19" fillId="0" borderId="0" xfId="0" applyFont="1" applyBorder="1" applyAlignment="1" applyProtection="1">
      <alignment horizontal="center"/>
      <protection locked="0"/>
    </xf>
    <xf numFmtId="0" fontId="17" fillId="0" borderId="0" xfId="0" applyFont="1" applyBorder="1" applyAlignment="1" applyProtection="1">
      <alignment horizontal="left"/>
      <protection locked="0"/>
    </xf>
    <xf numFmtId="0" fontId="12" fillId="0" borderId="0" xfId="0" applyFont="1" applyFill="1" applyBorder="1" applyProtection="1">
      <protection locked="0"/>
    </xf>
    <xf numFmtId="167" fontId="19" fillId="0" borderId="0" xfId="0" applyNumberFormat="1" applyFont="1" applyBorder="1" applyAlignment="1" applyProtection="1">
      <alignment horizontal="center" wrapText="1"/>
      <protection locked="0"/>
    </xf>
    <xf numFmtId="0" fontId="25" fillId="4" borderId="0" xfId="0" applyFont="1" applyFill="1" applyAlignment="1">
      <alignment horizontal="center"/>
    </xf>
    <xf numFmtId="0" fontId="25" fillId="0" borderId="0" xfId="0" applyFont="1" applyAlignment="1">
      <alignment horizontal="center"/>
    </xf>
    <xf numFmtId="0" fontId="25" fillId="5" borderId="0" xfId="0" applyFont="1" applyFill="1" applyAlignment="1">
      <alignment horizontal="center"/>
    </xf>
    <xf numFmtId="0" fontId="25" fillId="6" borderId="0" xfId="0" applyFont="1" applyFill="1" applyAlignment="1">
      <alignment horizontal="center"/>
    </xf>
    <xf numFmtId="0" fontId="25" fillId="7" borderId="0" xfId="0" applyFont="1" applyFill="1" applyAlignment="1">
      <alignment horizontal="center"/>
    </xf>
    <xf numFmtId="0" fontId="25" fillId="10" borderId="0" xfId="0" applyFont="1" applyFill="1" applyAlignment="1">
      <alignment horizontal="center"/>
    </xf>
    <xf numFmtId="0" fontId="25" fillId="0" borderId="0" xfId="0" applyFont="1" applyFill="1" applyAlignment="1">
      <alignment horizontal="center"/>
    </xf>
    <xf numFmtId="0" fontId="25" fillId="9" borderId="0" xfId="0" applyFont="1" applyFill="1" applyAlignment="1">
      <alignment horizontal="center"/>
    </xf>
    <xf numFmtId="0" fontId="25" fillId="2" borderId="0" xfId="0" applyFont="1" applyFill="1" applyAlignment="1">
      <alignment horizontal="center"/>
    </xf>
    <xf numFmtId="0" fontId="25" fillId="8" borderId="0" xfId="0" applyFont="1" applyFill="1" applyAlignment="1">
      <alignment horizontal="center"/>
    </xf>
    <xf numFmtId="0" fontId="25" fillId="11" borderId="0" xfId="0" applyFont="1" applyFill="1" applyAlignment="1">
      <alignment horizontal="center"/>
    </xf>
    <xf numFmtId="0" fontId="16" fillId="4" borderId="0" xfId="0" applyFont="1" applyFill="1" applyAlignment="1">
      <alignment horizontal="left"/>
    </xf>
    <xf numFmtId="0" fontId="16" fillId="0" borderId="0" xfId="0" applyFont="1" applyAlignment="1">
      <alignment horizontal="left"/>
    </xf>
    <xf numFmtId="0" fontId="16" fillId="5" borderId="0" xfId="0" applyFont="1" applyFill="1" applyAlignment="1">
      <alignment horizontal="left"/>
    </xf>
    <xf numFmtId="0" fontId="16" fillId="6" borderId="0" xfId="0" applyFont="1" applyFill="1" applyAlignment="1">
      <alignment horizontal="left"/>
    </xf>
    <xf numFmtId="0" fontId="16" fillId="7" borderId="0" xfId="0" applyFont="1" applyFill="1" applyAlignment="1">
      <alignment horizontal="left"/>
    </xf>
    <xf numFmtId="0" fontId="16" fillId="10" borderId="0" xfId="0" applyFont="1" applyFill="1" applyAlignment="1">
      <alignment horizontal="left"/>
    </xf>
    <xf numFmtId="0" fontId="16" fillId="0" borderId="0" xfId="0" applyFont="1" applyFill="1" applyAlignment="1">
      <alignment horizontal="left"/>
    </xf>
    <xf numFmtId="0" fontId="16" fillId="9" borderId="0" xfId="0" applyFont="1" applyFill="1" applyAlignment="1">
      <alignment horizontal="left"/>
    </xf>
    <xf numFmtId="0" fontId="16" fillId="2" borderId="0" xfId="0" applyFont="1" applyFill="1" applyAlignment="1">
      <alignment horizontal="left"/>
    </xf>
    <xf numFmtId="0" fontId="16" fillId="8" borderId="0" xfId="0" applyFont="1" applyFill="1" applyAlignment="1">
      <alignment horizontal="left"/>
    </xf>
    <xf numFmtId="0" fontId="16" fillId="11" borderId="0" xfId="0" applyFont="1" applyFill="1" applyAlignment="1">
      <alignment horizontal="left"/>
    </xf>
    <xf numFmtId="0" fontId="28" fillId="0" borderId="0" xfId="0" applyFont="1" applyBorder="1" applyProtection="1">
      <protection locked="0"/>
    </xf>
    <xf numFmtId="0" fontId="28" fillId="0" borderId="0" xfId="0" applyFont="1" applyBorder="1" applyAlignment="1" applyProtection="1">
      <alignment horizontal="left"/>
      <protection locked="0"/>
    </xf>
    <xf numFmtId="0" fontId="28" fillId="0" borderId="0" xfId="0" applyFont="1" applyBorder="1" applyAlignment="1" applyProtection="1">
      <alignment horizontal="center"/>
      <protection locked="0"/>
    </xf>
    <xf numFmtId="0" fontId="29" fillId="0" borderId="0" xfId="0" applyFont="1" applyBorder="1" applyAlignment="1" applyProtection="1">
      <alignment horizontal="center"/>
      <protection locked="0"/>
    </xf>
    <xf numFmtId="167" fontId="29" fillId="0" borderId="0" xfId="0" applyNumberFormat="1" applyFont="1" applyBorder="1" applyAlignment="1" applyProtection="1">
      <alignment horizontal="center"/>
      <protection locked="0"/>
    </xf>
    <xf numFmtId="167" fontId="29" fillId="0" borderId="0" xfId="0" applyNumberFormat="1" applyFont="1" applyBorder="1" applyAlignment="1" applyProtection="1">
      <alignment horizontal="center" wrapText="1"/>
      <protection locked="0"/>
    </xf>
    <xf numFmtId="0" fontId="3" fillId="0" borderId="0" xfId="0" applyFont="1" applyBorder="1" applyProtection="1"/>
    <xf numFmtId="0" fontId="3" fillId="14" borderId="0" xfId="0" applyFont="1" applyFill="1" applyBorder="1" applyProtection="1"/>
    <xf numFmtId="0" fontId="3" fillId="14" borderId="0" xfId="0" applyFont="1" applyFill="1" applyAlignment="1">
      <alignment horizontal="left"/>
    </xf>
    <xf numFmtId="0" fontId="3" fillId="14" borderId="0" xfId="0" applyFont="1" applyFill="1" applyAlignment="1">
      <alignment horizontal="center"/>
    </xf>
    <xf numFmtId="0" fontId="3" fillId="14" borderId="0" xfId="0" applyFont="1" applyFill="1"/>
    <xf numFmtId="0" fontId="10" fillId="14" borderId="0" xfId="0" applyFont="1" applyFill="1" applyAlignment="1">
      <alignment horizontal="center"/>
    </xf>
    <xf numFmtId="0" fontId="10" fillId="14" borderId="0" xfId="0" applyFont="1" applyFill="1"/>
    <xf numFmtId="0" fontId="10" fillId="14" borderId="13" xfId="0" applyFont="1" applyFill="1" applyBorder="1" applyAlignment="1">
      <alignment horizontal="left"/>
    </xf>
    <xf numFmtId="0" fontId="3" fillId="14" borderId="13" xfId="0" applyFont="1" applyFill="1" applyBorder="1"/>
    <xf numFmtId="0" fontId="10" fillId="14" borderId="0" xfId="0" applyFont="1" applyFill="1" applyBorder="1"/>
    <xf numFmtId="0" fontId="3" fillId="14" borderId="0" xfId="0" applyFont="1" applyFill="1" applyBorder="1"/>
    <xf numFmtId="0" fontId="32" fillId="14" borderId="0" xfId="0" applyFont="1" applyFill="1" applyBorder="1"/>
    <xf numFmtId="0" fontId="33" fillId="14" borderId="0" xfId="0" applyFont="1" applyFill="1" applyAlignment="1">
      <alignment horizontal="center"/>
    </xf>
    <xf numFmtId="0" fontId="34" fillId="0" borderId="0" xfId="0" applyFont="1" applyAlignment="1">
      <alignment vertical="center"/>
    </xf>
    <xf numFmtId="0" fontId="0" fillId="0" borderId="0" xfId="0" applyAlignment="1"/>
    <xf numFmtId="0" fontId="35" fillId="0" borderId="0" xfId="0" applyFont="1" applyAlignment="1">
      <alignment vertical="center"/>
    </xf>
    <xf numFmtId="0" fontId="0" fillId="0" borderId="0" xfId="0" applyAlignment="1">
      <alignment horizontal="left" vertical="center"/>
    </xf>
    <xf numFmtId="0" fontId="38" fillId="0" borderId="0" xfId="0" applyFont="1" applyAlignment="1">
      <alignment horizontal="left" vertical="center"/>
    </xf>
    <xf numFmtId="0" fontId="3" fillId="14" borderId="0" xfId="0" applyFont="1" applyFill="1" applyBorder="1" applyAlignment="1">
      <alignment horizontal="left"/>
    </xf>
    <xf numFmtId="0" fontId="10" fillId="14" borderId="0" xfId="0" applyFont="1" applyFill="1" applyBorder="1" applyAlignment="1">
      <alignment horizontal="left"/>
    </xf>
    <xf numFmtId="0" fontId="0" fillId="0" borderId="0" xfId="0" applyAlignment="1">
      <alignment horizontal="left"/>
    </xf>
    <xf numFmtId="0" fontId="40" fillId="2" borderId="0" xfId="0" applyFont="1" applyFill="1" applyAlignment="1">
      <alignment horizontal="center"/>
    </xf>
    <xf numFmtId="0" fontId="0" fillId="2" borderId="0" xfId="0" applyFill="1" applyAlignment="1">
      <alignment horizontal="center"/>
    </xf>
    <xf numFmtId="0" fontId="27" fillId="0" borderId="0" xfId="0" applyFont="1" applyBorder="1" applyProtection="1"/>
    <xf numFmtId="0" fontId="28" fillId="0" borderId="0" xfId="0" applyFont="1" applyBorder="1" applyAlignment="1" applyProtection="1">
      <alignment horizontal="left"/>
    </xf>
    <xf numFmtId="0" fontId="3" fillId="0" borderId="0" xfId="0" applyFont="1" applyBorder="1" applyAlignment="1" applyProtection="1">
      <alignment horizontal="left"/>
    </xf>
    <xf numFmtId="167" fontId="29" fillId="0" borderId="0" xfId="0" applyNumberFormat="1" applyFont="1" applyBorder="1" applyAlignment="1" applyProtection="1">
      <alignment horizontal="center"/>
    </xf>
    <xf numFmtId="0" fontId="3" fillId="0" borderId="0" xfId="0" applyFont="1" applyBorder="1" applyAlignment="1" applyProtection="1">
      <alignment horizontal="center"/>
    </xf>
    <xf numFmtId="0" fontId="20" fillId="0" borderId="0" xfId="0" applyFont="1" applyBorder="1" applyAlignment="1" applyProtection="1">
      <alignment horizontal="center"/>
    </xf>
    <xf numFmtId="167" fontId="20" fillId="0" borderId="0" xfId="0" applyNumberFormat="1" applyFont="1" applyBorder="1" applyAlignment="1" applyProtection="1">
      <alignment horizontal="center"/>
    </xf>
    <xf numFmtId="0" fontId="16" fillId="0" borderId="0" xfId="0" applyFont="1" applyBorder="1" applyAlignment="1" applyProtection="1">
      <alignment horizontal="left"/>
    </xf>
    <xf numFmtId="0" fontId="3" fillId="0" borderId="0" xfId="0" applyFont="1" applyFill="1" applyBorder="1" applyProtection="1"/>
    <xf numFmtId="0" fontId="3" fillId="0" borderId="0" xfId="0" applyFont="1" applyFill="1" applyBorder="1" applyAlignment="1" applyProtection="1">
      <alignment horizontal="left"/>
    </xf>
    <xf numFmtId="0" fontId="3" fillId="0" borderId="0" xfId="0" applyFont="1" applyFill="1" applyBorder="1" applyAlignment="1" applyProtection="1">
      <alignment horizontal="center"/>
    </xf>
    <xf numFmtId="0" fontId="10" fillId="0" borderId="0" xfId="0" applyFont="1" applyFill="1" applyBorder="1" applyAlignment="1" applyProtection="1">
      <alignment horizontal="center" vertical="center"/>
    </xf>
    <xf numFmtId="0" fontId="10" fillId="0" borderId="0" xfId="0" applyFont="1" applyFill="1" applyBorder="1" applyAlignment="1" applyProtection="1">
      <alignment horizontal="center" vertical="center" wrapText="1"/>
    </xf>
    <xf numFmtId="0" fontId="41" fillId="0" borderId="0" xfId="0" applyFont="1" applyAlignment="1">
      <alignment horizontal="left"/>
    </xf>
    <xf numFmtId="0" fontId="0" fillId="0" borderId="0" xfId="0" applyProtection="1">
      <protection locked="0"/>
    </xf>
    <xf numFmtId="0" fontId="0" fillId="12" borderId="0" xfId="0" applyFill="1" applyAlignment="1" applyProtection="1">
      <alignment horizontal="left"/>
      <protection locked="0"/>
    </xf>
    <xf numFmtId="0" fontId="0" fillId="12" borderId="0" xfId="0" applyFill="1" applyProtection="1">
      <protection locked="0"/>
    </xf>
    <xf numFmtId="0" fontId="42" fillId="12" borderId="0" xfId="0" applyFont="1" applyFill="1"/>
    <xf numFmtId="0" fontId="43" fillId="12" borderId="0" xfId="0" applyFont="1" applyFill="1" applyAlignment="1">
      <alignment horizontal="right"/>
    </xf>
    <xf numFmtId="0" fontId="0" fillId="0" borderId="0" xfId="0" applyProtection="1"/>
    <xf numFmtId="0" fontId="10" fillId="0" borderId="0" xfId="0" applyFont="1" applyFill="1" applyBorder="1" applyAlignment="1" applyProtection="1">
      <alignment vertical="center"/>
    </xf>
    <xf numFmtId="0" fontId="10" fillId="14" borderId="0" xfId="0" applyFont="1" applyFill="1" applyBorder="1" applyAlignment="1" applyProtection="1">
      <alignment vertical="center"/>
    </xf>
    <xf numFmtId="0" fontId="28" fillId="0" borderId="0" xfId="0" applyFont="1" applyFill="1" applyBorder="1" applyAlignment="1" applyProtection="1">
      <alignment horizontal="left"/>
    </xf>
    <xf numFmtId="0" fontId="29" fillId="0" borderId="0" xfId="0" applyFont="1" applyFill="1" applyBorder="1" applyAlignment="1" applyProtection="1">
      <alignment horizontal="center"/>
      <protection locked="0"/>
    </xf>
    <xf numFmtId="167" fontId="29" fillId="0" borderId="0" xfId="0" applyNumberFormat="1" applyFont="1" applyFill="1" applyBorder="1" applyAlignment="1" applyProtection="1">
      <alignment horizontal="center" wrapText="1"/>
      <protection locked="0"/>
    </xf>
    <xf numFmtId="167" fontId="29" fillId="0" borderId="0" xfId="0" applyNumberFormat="1" applyFont="1" applyFill="1" applyBorder="1" applyAlignment="1" applyProtection="1">
      <alignment horizontal="center"/>
    </xf>
    <xf numFmtId="0" fontId="10" fillId="0" borderId="0" xfId="0" applyFont="1" applyBorder="1" applyAlignment="1" applyProtection="1">
      <alignment horizontal="center"/>
      <protection locked="0"/>
    </xf>
    <xf numFmtId="0" fontId="10" fillId="0" borderId="0" xfId="0" applyFont="1" applyBorder="1" applyAlignment="1" applyProtection="1">
      <alignment horizontal="left"/>
      <protection locked="0"/>
    </xf>
    <xf numFmtId="0" fontId="44" fillId="0" borderId="0" xfId="0" applyFont="1" applyBorder="1" applyAlignment="1" applyProtection="1">
      <alignment horizontal="center"/>
      <protection locked="0"/>
    </xf>
    <xf numFmtId="167" fontId="44" fillId="0" borderId="0" xfId="0" applyNumberFormat="1" applyFont="1" applyBorder="1" applyAlignment="1" applyProtection="1">
      <alignment horizontal="center" wrapText="1"/>
      <protection locked="0"/>
    </xf>
    <xf numFmtId="0" fontId="18" fillId="0" borderId="0" xfId="0" applyFont="1" applyBorder="1" applyAlignment="1" applyProtection="1">
      <alignment horizontal="left"/>
      <protection locked="0"/>
    </xf>
    <xf numFmtId="0" fontId="45" fillId="0" borderId="0" xfId="0" applyFont="1" applyBorder="1" applyProtection="1">
      <protection locked="0"/>
    </xf>
    <xf numFmtId="0" fontId="45" fillId="0" borderId="0" xfId="0" applyFont="1" applyBorder="1" applyAlignment="1" applyProtection="1">
      <alignment horizontal="left"/>
      <protection locked="0"/>
    </xf>
    <xf numFmtId="0" fontId="45" fillId="0" borderId="0" xfId="0" applyFont="1" applyBorder="1" applyAlignment="1" applyProtection="1">
      <alignment horizontal="center"/>
      <protection locked="0"/>
    </xf>
    <xf numFmtId="0" fontId="46" fillId="0" borderId="0" xfId="0" applyFont="1" applyBorder="1" applyAlignment="1" applyProtection="1">
      <alignment horizontal="center"/>
      <protection locked="0"/>
    </xf>
    <xf numFmtId="167" fontId="46" fillId="0" borderId="0" xfId="0" applyNumberFormat="1" applyFont="1" applyBorder="1" applyAlignment="1" applyProtection="1">
      <alignment horizontal="center"/>
      <protection locked="0"/>
    </xf>
    <xf numFmtId="0" fontId="47" fillId="0" borderId="0" xfId="0" applyFont="1" applyAlignment="1">
      <alignment horizontal="left" vertical="center"/>
    </xf>
    <xf numFmtId="0" fontId="3"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protection locked="0"/>
    </xf>
    <xf numFmtId="0" fontId="25" fillId="10" borderId="0" xfId="0" applyFont="1" applyFill="1" applyBorder="1" applyAlignment="1" applyProtection="1">
      <alignment horizontal="center"/>
      <protection locked="0"/>
    </xf>
    <xf numFmtId="0" fontId="20" fillId="10" borderId="0" xfId="0" applyFont="1" applyFill="1" applyBorder="1" applyAlignment="1" applyProtection="1">
      <alignment horizontal="center"/>
      <protection locked="0"/>
    </xf>
    <xf numFmtId="167" fontId="20" fillId="10" borderId="0" xfId="0" applyNumberFormat="1" applyFont="1" applyFill="1" applyBorder="1" applyAlignment="1" applyProtection="1">
      <alignment horizontal="center"/>
      <protection locked="0"/>
    </xf>
    <xf numFmtId="0" fontId="16" fillId="10" borderId="0" xfId="0" applyFont="1" applyFill="1" applyBorder="1" applyAlignment="1" applyProtection="1">
      <alignment horizontal="left"/>
      <protection locked="0"/>
    </xf>
    <xf numFmtId="0" fontId="25"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0" fillId="0" borderId="3" xfId="0" applyBorder="1"/>
    <xf numFmtId="0" fontId="0" fillId="0" borderId="4" xfId="0" applyBorder="1"/>
    <xf numFmtId="0" fontId="0" fillId="0" borderId="5" xfId="0" applyBorder="1"/>
    <xf numFmtId="0" fontId="27" fillId="0" borderId="10" xfId="0" applyFont="1" applyBorder="1" applyProtection="1"/>
    <xf numFmtId="0" fontId="0" fillId="0" borderId="14" xfId="0" applyBorder="1"/>
    <xf numFmtId="0" fontId="3" fillId="0" borderId="10" xfId="0" applyFont="1" applyBorder="1" applyProtection="1">
      <protection locked="0"/>
    </xf>
    <xf numFmtId="0" fontId="3" fillId="0" borderId="10" xfId="0" applyFont="1" applyFill="1" applyBorder="1" applyProtection="1">
      <protection locked="0"/>
    </xf>
    <xf numFmtId="0" fontId="0" fillId="0" borderId="10" xfId="0" applyBorder="1"/>
    <xf numFmtId="0" fontId="0" fillId="0" borderId="11" xfId="0" applyBorder="1"/>
    <xf numFmtId="0" fontId="0" fillId="0" borderId="16" xfId="0" applyBorder="1"/>
    <xf numFmtId="0" fontId="48" fillId="0" borderId="0" xfId="0" applyFont="1" applyFill="1" applyBorder="1" applyAlignment="1" applyProtection="1">
      <alignment horizontal="left"/>
      <protection locked="0"/>
    </xf>
    <xf numFmtId="167" fontId="49" fillId="0" borderId="0" xfId="0" applyNumberFormat="1" applyFont="1" applyFill="1" applyBorder="1" applyAlignment="1" applyProtection="1">
      <alignment horizontal="center"/>
      <protection locked="0"/>
    </xf>
    <xf numFmtId="0" fontId="50" fillId="0" borderId="0" xfId="0" applyFont="1" applyFill="1" applyBorder="1" applyAlignment="1" applyProtection="1">
      <alignment horizontal="left"/>
      <protection locked="0"/>
    </xf>
    <xf numFmtId="0" fontId="3" fillId="16" borderId="0" xfId="0" applyFont="1" applyFill="1" applyBorder="1" applyAlignment="1" applyProtection="1">
      <alignment horizontal="left"/>
      <protection locked="0"/>
    </xf>
    <xf numFmtId="0" fontId="25" fillId="16" borderId="0" xfId="0" applyFont="1" applyFill="1" applyBorder="1" applyAlignment="1" applyProtection="1">
      <alignment horizontal="center"/>
      <protection locked="0"/>
    </xf>
    <xf numFmtId="0" fontId="3" fillId="0" borderId="3" xfId="0" applyFont="1" applyFill="1" applyBorder="1" applyAlignment="1" applyProtection="1">
      <alignment horizontal="left"/>
      <protection locked="0"/>
    </xf>
    <xf numFmtId="0" fontId="25" fillId="0" borderId="4" xfId="0" applyFont="1" applyFill="1" applyBorder="1" applyAlignment="1" applyProtection="1">
      <alignment horizontal="center"/>
      <protection locked="0"/>
    </xf>
    <xf numFmtId="0" fontId="25" fillId="16" borderId="4" xfId="0" applyFont="1" applyFill="1" applyBorder="1" applyAlignment="1" applyProtection="1">
      <alignment horizontal="center"/>
      <protection locked="0"/>
    </xf>
    <xf numFmtId="0" fontId="3" fillId="16" borderId="4" xfId="0" applyFont="1" applyFill="1" applyBorder="1" applyAlignment="1" applyProtection="1">
      <alignment horizontal="center"/>
      <protection locked="0"/>
    </xf>
    <xf numFmtId="0" fontId="50" fillId="0" borderId="4" xfId="0" applyFont="1" applyFill="1" applyBorder="1" applyAlignment="1" applyProtection="1">
      <alignment horizontal="left"/>
      <protection locked="0"/>
    </xf>
    <xf numFmtId="0" fontId="20" fillId="0" borderId="4" xfId="0" applyFont="1" applyFill="1" applyBorder="1" applyAlignment="1" applyProtection="1">
      <alignment horizontal="center"/>
      <protection locked="0"/>
    </xf>
    <xf numFmtId="167" fontId="49" fillId="0" borderId="4" xfId="0" applyNumberFormat="1" applyFont="1" applyFill="1" applyBorder="1" applyAlignment="1" applyProtection="1">
      <alignment horizontal="center"/>
      <protection locked="0"/>
    </xf>
    <xf numFmtId="0" fontId="16" fillId="0" borderId="4" xfId="0" applyFont="1" applyFill="1" applyBorder="1" applyAlignment="1" applyProtection="1">
      <alignment horizontal="left"/>
      <protection locked="0"/>
    </xf>
    <xf numFmtId="0" fontId="3" fillId="0" borderId="5" xfId="0" applyFont="1" applyFill="1" applyBorder="1" applyAlignment="1" applyProtection="1">
      <alignment horizontal="left"/>
      <protection locked="0"/>
    </xf>
    <xf numFmtId="0" fontId="3" fillId="16" borderId="10" xfId="0" applyFont="1" applyFill="1" applyBorder="1" applyAlignment="1" applyProtection="1">
      <alignment horizontal="left"/>
      <protection locked="0"/>
    </xf>
    <xf numFmtId="0" fontId="3" fillId="0" borderId="14" xfId="0" applyFont="1" applyFill="1" applyBorder="1" applyAlignment="1" applyProtection="1">
      <alignment horizontal="left"/>
      <protection locked="0"/>
    </xf>
    <xf numFmtId="0" fontId="3" fillId="16" borderId="11" xfId="0" applyFont="1" applyFill="1" applyBorder="1" applyAlignment="1" applyProtection="1">
      <alignment horizontal="left"/>
      <protection locked="0"/>
    </xf>
    <xf numFmtId="0" fontId="25" fillId="16" borderId="15"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3" fillId="0" borderId="15" xfId="0" applyFont="1" applyFill="1" applyBorder="1" applyAlignment="1" applyProtection="1">
      <alignment horizontal="center"/>
      <protection locked="0"/>
    </xf>
    <xf numFmtId="0" fontId="50" fillId="0" borderId="15" xfId="0" applyFont="1" applyFill="1" applyBorder="1" applyAlignment="1" applyProtection="1">
      <alignment horizontal="left"/>
      <protection locked="0"/>
    </xf>
    <xf numFmtId="0" fontId="20" fillId="0" borderId="15" xfId="0" applyFont="1" applyFill="1" applyBorder="1" applyAlignment="1" applyProtection="1">
      <alignment horizontal="center"/>
      <protection locked="0"/>
    </xf>
    <xf numFmtId="167" fontId="49" fillId="0" borderId="15" xfId="0" applyNumberFormat="1" applyFont="1" applyFill="1" applyBorder="1" applyAlignment="1" applyProtection="1">
      <alignment horizontal="center"/>
      <protection locked="0"/>
    </xf>
    <xf numFmtId="0" fontId="48" fillId="0" borderId="15" xfId="0" applyFont="1" applyFill="1" applyBorder="1" applyAlignment="1" applyProtection="1">
      <alignment horizontal="left"/>
      <protection locked="0"/>
    </xf>
    <xf numFmtId="0" fontId="3" fillId="0" borderId="16" xfId="0" applyFont="1" applyFill="1" applyBorder="1" applyAlignment="1" applyProtection="1">
      <alignment horizontal="left"/>
      <protection locked="0"/>
    </xf>
    <xf numFmtId="0" fontId="3" fillId="0" borderId="17" xfId="0" applyFont="1" applyFill="1" applyBorder="1" applyAlignment="1" applyProtection="1">
      <alignment horizontal="left"/>
      <protection locked="0"/>
    </xf>
    <xf numFmtId="0" fontId="25" fillId="0" borderId="18" xfId="0" applyFont="1" applyFill="1" applyBorder="1" applyAlignment="1" applyProtection="1">
      <alignment horizontal="center"/>
      <protection locked="0"/>
    </xf>
    <xf numFmtId="0" fontId="25" fillId="16" borderId="18" xfId="0" applyFont="1" applyFill="1" applyBorder="1" applyAlignment="1" applyProtection="1">
      <alignment horizontal="center"/>
      <protection locked="0"/>
    </xf>
    <xf numFmtId="0" fontId="3" fillId="16" borderId="18" xfId="0" applyFont="1" applyFill="1" applyBorder="1" applyAlignment="1" applyProtection="1">
      <alignment horizontal="center"/>
      <protection locked="0"/>
    </xf>
    <xf numFmtId="0" fontId="50" fillId="0" borderId="18" xfId="0" applyFont="1" applyFill="1" applyBorder="1" applyAlignment="1" applyProtection="1">
      <alignment horizontal="left"/>
      <protection locked="0"/>
    </xf>
    <xf numFmtId="0" fontId="20" fillId="0" borderId="18" xfId="0" applyFont="1" applyFill="1" applyBorder="1" applyAlignment="1" applyProtection="1">
      <alignment horizontal="center"/>
      <protection locked="0"/>
    </xf>
    <xf numFmtId="167" fontId="49" fillId="0" borderId="18" xfId="0" applyNumberFormat="1" applyFont="1" applyFill="1" applyBorder="1" applyAlignment="1" applyProtection="1">
      <alignment horizontal="center"/>
      <protection locked="0"/>
    </xf>
    <xf numFmtId="0" fontId="48" fillId="0" borderId="18" xfId="0" applyFont="1" applyFill="1" applyBorder="1" applyAlignment="1" applyProtection="1">
      <alignment horizontal="left"/>
      <protection locked="0"/>
    </xf>
    <xf numFmtId="0" fontId="3" fillId="0" borderId="19" xfId="0" applyFont="1" applyFill="1" applyBorder="1" applyAlignment="1" applyProtection="1">
      <alignment horizontal="left"/>
      <protection locked="0"/>
    </xf>
    <xf numFmtId="0" fontId="35" fillId="0" borderId="0" xfId="0" applyFont="1" applyAlignment="1">
      <alignment vertical="center" wrapText="1"/>
    </xf>
    <xf numFmtId="0" fontId="10" fillId="16" borderId="0" xfId="0" applyFont="1" applyFill="1" applyBorder="1" applyAlignment="1" applyProtection="1">
      <alignment horizontal="center"/>
      <protection locked="0"/>
    </xf>
    <xf numFmtId="0" fontId="10" fillId="16" borderId="0" xfId="0" applyFont="1" applyFill="1" applyBorder="1" applyAlignment="1" applyProtection="1">
      <alignment horizontal="left"/>
      <protection locked="0"/>
    </xf>
    <xf numFmtId="0" fontId="44" fillId="16" borderId="0" xfId="0" applyFont="1" applyFill="1" applyBorder="1" applyAlignment="1" applyProtection="1">
      <alignment horizontal="center"/>
      <protection locked="0"/>
    </xf>
    <xf numFmtId="167" fontId="44" fillId="16" borderId="0" xfId="0" applyNumberFormat="1" applyFont="1" applyFill="1" applyBorder="1" applyAlignment="1" applyProtection="1">
      <alignment horizontal="center" wrapText="1"/>
      <protection locked="0"/>
    </xf>
    <xf numFmtId="0" fontId="18" fillId="16" borderId="0" xfId="0" applyFont="1" applyFill="1" applyBorder="1" applyAlignment="1" applyProtection="1">
      <alignment horizontal="left"/>
      <protection locked="0"/>
    </xf>
    <xf numFmtId="0" fontId="0" fillId="16" borderId="15" xfId="0" applyFill="1" applyBorder="1"/>
    <xf numFmtId="0" fontId="3" fillId="9" borderId="0" xfId="0" applyFont="1" applyFill="1" applyBorder="1" applyAlignment="1" applyProtection="1">
      <alignment horizontal="center"/>
      <protection locked="0"/>
    </xf>
    <xf numFmtId="0" fontId="3" fillId="9" borderId="0" xfId="0" applyFont="1" applyFill="1" applyBorder="1" applyAlignment="1" applyProtection="1">
      <alignment horizontal="left"/>
      <protection locked="0"/>
    </xf>
    <xf numFmtId="0" fontId="25" fillId="9" borderId="0" xfId="0" applyFont="1" applyFill="1" applyBorder="1" applyAlignment="1" applyProtection="1">
      <alignment horizontal="center"/>
      <protection locked="0"/>
    </xf>
    <xf numFmtId="0" fontId="20" fillId="9" borderId="0" xfId="0" applyFont="1" applyFill="1" applyBorder="1" applyAlignment="1" applyProtection="1">
      <alignment horizontal="center"/>
      <protection locked="0"/>
    </xf>
    <xf numFmtId="167" fontId="20" fillId="9" borderId="0" xfId="0" applyNumberFormat="1" applyFont="1" applyFill="1" applyBorder="1" applyAlignment="1" applyProtection="1">
      <alignment horizontal="center"/>
      <protection locked="0"/>
    </xf>
    <xf numFmtId="0" fontId="16" fillId="9" borderId="0" xfId="0" applyFont="1" applyFill="1" applyBorder="1" applyAlignment="1" applyProtection="1">
      <alignment horizontal="left"/>
      <protection locked="0"/>
    </xf>
    <xf numFmtId="0" fontId="3" fillId="0" borderId="0" xfId="0" applyFont="1" applyFill="1" applyBorder="1" applyAlignment="1" applyProtection="1">
      <alignment horizontal="left"/>
      <protection locked="0"/>
    </xf>
    <xf numFmtId="167" fontId="20" fillId="0" borderId="0" xfId="0" applyNumberFormat="1" applyFont="1" applyFill="1" applyBorder="1" applyAlignment="1" applyProtection="1">
      <alignment horizontal="center"/>
      <protection locked="0"/>
    </xf>
    <xf numFmtId="0" fontId="16" fillId="0" borderId="0" xfId="0" applyFont="1" applyFill="1" applyBorder="1" applyAlignment="1" applyProtection="1">
      <alignment horizontal="left"/>
      <protection locked="0"/>
    </xf>
    <xf numFmtId="0" fontId="3" fillId="0" borderId="20" xfId="0" applyFont="1" applyFill="1" applyBorder="1" applyAlignment="1" applyProtection="1">
      <alignment horizontal="left"/>
      <protection locked="0"/>
    </xf>
    <xf numFmtId="0" fontId="3" fillId="0" borderId="21" xfId="0" applyFont="1" applyFill="1" applyBorder="1" applyAlignment="1" applyProtection="1">
      <alignment horizontal="left"/>
      <protection locked="0"/>
    </xf>
    <xf numFmtId="0" fontId="25" fillId="0" borderId="21" xfId="0" applyFont="1" applyFill="1" applyBorder="1" applyAlignment="1" applyProtection="1">
      <alignment horizontal="center"/>
      <protection locked="0"/>
    </xf>
    <xf numFmtId="0" fontId="3" fillId="0" borderId="21" xfId="0" applyFont="1" applyFill="1" applyBorder="1" applyAlignment="1" applyProtection="1">
      <alignment horizontal="center"/>
      <protection locked="0"/>
    </xf>
    <xf numFmtId="0" fontId="20" fillId="0" borderId="21" xfId="0" applyFont="1" applyFill="1" applyBorder="1" applyAlignment="1" applyProtection="1">
      <alignment horizontal="center"/>
      <protection locked="0"/>
    </xf>
    <xf numFmtId="167" fontId="20" fillId="0" borderId="21" xfId="0" applyNumberFormat="1" applyFont="1" applyFill="1" applyBorder="1" applyAlignment="1" applyProtection="1">
      <alignment horizontal="center"/>
      <protection locked="0"/>
    </xf>
    <xf numFmtId="0" fontId="16" fillId="0" borderId="21" xfId="0" applyFont="1" applyFill="1" applyBorder="1" applyAlignment="1" applyProtection="1">
      <alignment horizontal="left"/>
      <protection locked="0"/>
    </xf>
    <xf numFmtId="0" fontId="3" fillId="0" borderId="22" xfId="0" applyFont="1" applyFill="1" applyBorder="1" applyAlignment="1" applyProtection="1">
      <alignment horizontal="left"/>
      <protection locked="0"/>
    </xf>
    <xf numFmtId="0" fontId="30" fillId="12" borderId="0" xfId="0" applyFont="1" applyFill="1" applyAlignment="1">
      <alignment horizontal="center"/>
    </xf>
    <xf numFmtId="0" fontId="30" fillId="12"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protection locked="0"/>
    </xf>
    <xf numFmtId="0" fontId="33" fillId="14" borderId="0" xfId="0" applyFont="1" applyFill="1" applyAlignment="1">
      <alignment horizontal="left" wrapText="1"/>
    </xf>
    <xf numFmtId="0" fontId="33" fillId="14" borderId="0" xfId="0" applyFont="1" applyFill="1" applyAlignment="1">
      <alignment horizontal="left" vertical="center"/>
    </xf>
    <xf numFmtId="0" fontId="10" fillId="14" borderId="0" xfId="0" applyFont="1" applyFill="1" applyAlignment="1">
      <alignment horizontal="left"/>
    </xf>
    <xf numFmtId="0" fontId="31" fillId="14" borderId="0" xfId="0" applyFont="1" applyFill="1" applyAlignment="1">
      <alignment horizontal="center"/>
    </xf>
    <xf numFmtId="0" fontId="35" fillId="0" borderId="0" xfId="0" applyFont="1" applyAlignment="1">
      <alignment horizontal="left" vertical="center" wrapText="1"/>
    </xf>
    <xf numFmtId="0" fontId="37" fillId="0" borderId="0" xfId="0" applyFont="1" applyAlignment="1">
      <alignment horizontal="left" vertical="center" wrapText="1"/>
    </xf>
    <xf numFmtId="0" fontId="10" fillId="2" borderId="3" xfId="0" applyFont="1" applyFill="1" applyBorder="1" applyAlignment="1">
      <alignment horizontal="center"/>
    </xf>
    <xf numFmtId="0" fontId="10" fillId="2" borderId="4" xfId="0" applyFont="1" applyFill="1" applyBorder="1" applyAlignment="1">
      <alignment horizontal="center"/>
    </xf>
    <xf numFmtId="0" fontId="10" fillId="2" borderId="5" xfId="0" applyFont="1" applyFill="1" applyBorder="1" applyAlignment="1">
      <alignment horizontal="center"/>
    </xf>
    <xf numFmtId="0" fontId="51" fillId="0" borderId="0" xfId="0" applyFont="1" applyAlignment="1">
      <alignment horizontal="left" wrapText="1"/>
    </xf>
    <xf numFmtId="0" fontId="51" fillId="0" borderId="0" xfId="0" applyFont="1" applyAlignment="1">
      <alignment horizontal="left"/>
    </xf>
  </cellXfs>
  <cellStyles count="13">
    <cellStyle name="Comma 2" xfId="7" xr:uid="{00000000-0005-0000-0000-000000000000}"/>
    <cellStyle name="Comma 2 2" xfId="8" xr:uid="{00000000-0005-0000-0000-000001000000}"/>
    <cellStyle name="Cost Table Plain" xfId="2" xr:uid="{00000000-0005-0000-0000-000002000000}"/>
    <cellStyle name="Cost_Green" xfId="3" xr:uid="{00000000-0005-0000-0000-000003000000}"/>
    <cellStyle name="Currency 2" xfId="9" xr:uid="{00000000-0005-0000-0000-000004000000}"/>
    <cellStyle name="Good 2" xfId="6" xr:uid="{00000000-0005-0000-0000-000005000000}"/>
    <cellStyle name="Normal" xfId="0" builtinId="0"/>
    <cellStyle name="Normal 2" xfId="10" xr:uid="{00000000-0005-0000-0000-000007000000}"/>
    <cellStyle name="Normal 2 2 4" xfId="4" xr:uid="{00000000-0005-0000-0000-000008000000}"/>
    <cellStyle name="Normal 3" xfId="1" xr:uid="{00000000-0005-0000-0000-000009000000}"/>
    <cellStyle name="Normal 5" xfId="5" xr:uid="{00000000-0005-0000-0000-00000A000000}"/>
    <cellStyle name="Normal_Sheet1" xfId="12" xr:uid="{00000000-0005-0000-0000-00000B000000}"/>
    <cellStyle name="Style 1" xfId="11" xr:uid="{00000000-0005-0000-0000-00000C000000}"/>
  </cellStyles>
  <dxfs count="2">
    <dxf>
      <font>
        <b/>
        <i val="0"/>
        <color rgb="FF00B050"/>
      </font>
    </dxf>
    <dxf>
      <font>
        <b/>
        <i val="0"/>
        <color rgb="FFC00000"/>
      </font>
    </dxf>
  </dxfs>
  <tableStyles count="0" defaultTableStyle="TableStyleMedium2" defaultPivotStyle="PivotStyleLight16"/>
  <colors>
    <mruColors>
      <color rgb="FFFFFF66"/>
      <color rgb="FFF73547"/>
      <color rgb="FFFF0066"/>
      <color rgb="FF66FF66"/>
      <color rgb="FFC0C0C0"/>
      <color rgb="FFFF8F8F"/>
      <color rgb="FFA9DA74"/>
      <color rgb="FFA38EBC"/>
      <color rgb="FFFF8D3F"/>
      <color rgb="FFFF9F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13</xdr:col>
      <xdr:colOff>266699</xdr:colOff>
      <xdr:row>0</xdr:row>
      <xdr:rowOff>114300</xdr:rowOff>
    </xdr:from>
    <xdr:to>
      <xdr:col>14</xdr:col>
      <xdr:colOff>514349</xdr:colOff>
      <xdr:row>4</xdr:row>
      <xdr:rowOff>152399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43849" y="114300"/>
          <a:ext cx="847725" cy="838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619125</xdr:colOff>
          <xdr:row>1</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0</xdr:row>
          <xdr:rowOff>76200</xdr:rowOff>
        </xdr:from>
        <xdr:to>
          <xdr:col>6</xdr:col>
          <xdr:colOff>390525</xdr:colOff>
          <xdr:row>1</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P/M/F/T</a:t>
              </a:r>
            </a:p>
            <a:p>
              <a:pPr algn="ctr" rtl="0">
                <a:defRPr sz="1000"/>
              </a:pPr>
              <a:r>
                <a:rPr lang="tr-TR" sz="1100" b="1" i="0" u="none" strike="noStrike" baseline="0">
                  <a:solidFill>
                    <a:srgbClr val="000000"/>
                  </a:solidFill>
                  <a:latin typeface="Arial"/>
                  <a:cs typeface="Arial"/>
                </a:rPr>
                <a:t>P/M/F/T/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66675</xdr:rowOff>
        </xdr:from>
        <xdr:to>
          <xdr:col>12</xdr:col>
          <xdr:colOff>200025</xdr:colOff>
          <xdr:row>1</xdr:row>
          <xdr:rowOff>76200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Export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0</xdr:row>
          <xdr:rowOff>66675</xdr:rowOff>
        </xdr:from>
        <xdr:to>
          <xdr:col>7</xdr:col>
          <xdr:colOff>1552575</xdr:colOff>
          <xdr:row>1</xdr:row>
          <xdr:rowOff>76200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Delete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76200</xdr:rowOff>
        </xdr:from>
        <xdr:to>
          <xdr:col>3</xdr:col>
          <xdr:colOff>1181100</xdr:colOff>
          <xdr:row>1</xdr:row>
          <xdr:rowOff>85725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66675</xdr:rowOff>
        </xdr:from>
        <xdr:to>
          <xdr:col>10</xdr:col>
          <xdr:colOff>476250</xdr:colOff>
          <xdr:row>1</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86254</xdr:colOff>
      <xdr:row>19</xdr:row>
      <xdr:rowOff>266699</xdr:rowOff>
    </xdr:from>
    <xdr:to>
      <xdr:col>13</xdr:col>
      <xdr:colOff>520344</xdr:colOff>
      <xdr:row>35</xdr:row>
      <xdr:rowOff>47624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71" t="-418" r="45646" b="58158"/>
        <a:stretch/>
      </xdr:blipFill>
      <xdr:spPr bwMode="auto">
        <a:xfrm>
          <a:off x="762529" y="5457824"/>
          <a:ext cx="7139690"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66FF66"/>
    <pageSetUpPr autoPageBreaks="0"/>
  </sheetPr>
  <dimension ref="A1:P45"/>
  <sheetViews>
    <sheetView workbookViewId="0">
      <selection activeCell="B6" sqref="B6:O26"/>
    </sheetView>
  </sheetViews>
  <sheetFormatPr defaultColWidth="0" defaultRowHeight="15" zeroHeight="1"/>
  <cols>
    <col min="1" max="1" width="7.140625" customWidth="1"/>
    <col min="2" max="15" width="9" customWidth="1"/>
    <col min="16" max="16" width="8.7109375" customWidth="1"/>
    <col min="17" max="16384" width="9.140625" hidden="1"/>
  </cols>
  <sheetData>
    <row r="1" spans="1:16" ht="15.75" customHeight="1">
      <c r="A1" s="45"/>
      <c r="B1" s="45"/>
      <c r="C1" s="45"/>
      <c r="D1" s="45"/>
      <c r="E1" s="45"/>
      <c r="F1" s="45"/>
      <c r="G1" s="45"/>
      <c r="H1" s="45"/>
      <c r="I1" s="45"/>
      <c r="J1" s="45"/>
      <c r="K1" s="45"/>
      <c r="L1" s="45"/>
      <c r="M1" s="45"/>
      <c r="N1" s="45"/>
      <c r="O1" s="45"/>
      <c r="P1" s="45"/>
    </row>
    <row r="2" spans="1:16" ht="15.75" customHeight="1">
      <c r="A2" s="45"/>
      <c r="B2" s="45"/>
      <c r="C2" s="45"/>
      <c r="D2" s="45"/>
      <c r="E2" s="179"/>
      <c r="F2" s="180" t="s">
        <v>134</v>
      </c>
      <c r="G2" s="176"/>
      <c r="H2" s="177"/>
      <c r="I2" s="178"/>
      <c r="J2" s="178"/>
      <c r="K2" s="45"/>
      <c r="L2" s="45"/>
      <c r="M2" s="45"/>
      <c r="N2" s="45"/>
      <c r="O2" s="45"/>
      <c r="P2" s="45"/>
    </row>
    <row r="3" spans="1:16" ht="15.75" customHeight="1">
      <c r="A3" s="45"/>
      <c r="B3" s="45"/>
      <c r="C3" s="45"/>
      <c r="D3" s="45"/>
      <c r="E3" s="179"/>
      <c r="F3" s="180" t="s">
        <v>135</v>
      </c>
      <c r="G3" s="178"/>
      <c r="H3" s="178"/>
      <c r="I3" s="178"/>
      <c r="J3" s="178"/>
      <c r="K3" s="45"/>
      <c r="L3" s="45"/>
      <c r="M3" s="45"/>
      <c r="N3" s="45"/>
      <c r="O3" s="45"/>
      <c r="P3" s="45"/>
    </row>
    <row r="4" spans="1:16" ht="15.75" customHeight="1">
      <c r="A4" s="45"/>
      <c r="B4" s="45"/>
      <c r="C4" s="45"/>
      <c r="D4" s="45"/>
      <c r="E4" s="179"/>
      <c r="F4" s="180" t="s">
        <v>136</v>
      </c>
      <c r="G4" s="178"/>
      <c r="H4" s="178"/>
      <c r="I4" s="178"/>
      <c r="J4" s="178"/>
      <c r="K4" s="45"/>
      <c r="L4" s="45"/>
      <c r="M4" s="45"/>
      <c r="N4" s="45"/>
      <c r="O4" s="45"/>
      <c r="P4" s="45"/>
    </row>
    <row r="5" spans="1:16" ht="18" customHeight="1">
      <c r="A5" s="45"/>
      <c r="B5" s="45"/>
      <c r="C5" s="45"/>
      <c r="D5" s="45"/>
      <c r="E5" s="45"/>
      <c r="F5" s="45"/>
      <c r="G5" s="45"/>
      <c r="H5" s="45"/>
      <c r="I5" s="45"/>
      <c r="J5" s="45"/>
      <c r="K5" s="45"/>
      <c r="L5" s="45"/>
      <c r="M5" s="45"/>
      <c r="N5" s="45"/>
      <c r="O5" s="45"/>
      <c r="P5" s="45"/>
    </row>
    <row r="6" spans="1:16" ht="17.25" customHeight="1">
      <c r="A6" s="45"/>
      <c r="B6" s="277" t="s">
        <v>1292</v>
      </c>
      <c r="C6" s="278"/>
      <c r="D6" s="278"/>
      <c r="E6" s="278"/>
      <c r="F6" s="278"/>
      <c r="G6" s="278"/>
      <c r="H6" s="278"/>
      <c r="I6" s="278"/>
      <c r="J6" s="278"/>
      <c r="K6" s="278"/>
      <c r="L6" s="278"/>
      <c r="M6" s="278"/>
      <c r="N6" s="278"/>
      <c r="O6" s="278"/>
      <c r="P6" s="45"/>
    </row>
    <row r="7" spans="1:16" ht="17.25" customHeight="1">
      <c r="A7" s="45"/>
      <c r="B7" s="278"/>
      <c r="C7" s="278"/>
      <c r="D7" s="278"/>
      <c r="E7" s="278"/>
      <c r="F7" s="278"/>
      <c r="G7" s="278"/>
      <c r="H7" s="278"/>
      <c r="I7" s="278"/>
      <c r="J7" s="278"/>
      <c r="K7" s="278"/>
      <c r="L7" s="278"/>
      <c r="M7" s="278"/>
      <c r="N7" s="278"/>
      <c r="O7" s="278"/>
      <c r="P7" s="45"/>
    </row>
    <row r="8" spans="1:16" ht="17.25" customHeight="1">
      <c r="A8" s="45"/>
      <c r="B8" s="278"/>
      <c r="C8" s="278"/>
      <c r="D8" s="278"/>
      <c r="E8" s="278"/>
      <c r="F8" s="278"/>
      <c r="G8" s="278"/>
      <c r="H8" s="278"/>
      <c r="I8" s="278"/>
      <c r="J8" s="278"/>
      <c r="K8" s="278"/>
      <c r="L8" s="278"/>
      <c r="M8" s="278"/>
      <c r="N8" s="278"/>
      <c r="O8" s="278"/>
      <c r="P8" s="45"/>
    </row>
    <row r="9" spans="1:16" ht="17.25" customHeight="1">
      <c r="A9" s="45"/>
      <c r="B9" s="278"/>
      <c r="C9" s="278"/>
      <c r="D9" s="278"/>
      <c r="E9" s="278"/>
      <c r="F9" s="278"/>
      <c r="G9" s="278"/>
      <c r="H9" s="278"/>
      <c r="I9" s="278"/>
      <c r="J9" s="278"/>
      <c r="K9" s="278"/>
      <c r="L9" s="278"/>
      <c r="M9" s="278"/>
      <c r="N9" s="278"/>
      <c r="O9" s="278"/>
      <c r="P9" s="45"/>
    </row>
    <row r="10" spans="1:16" ht="17.25" customHeight="1">
      <c r="A10" s="45"/>
      <c r="B10" s="278"/>
      <c r="C10" s="278"/>
      <c r="D10" s="278"/>
      <c r="E10" s="278"/>
      <c r="F10" s="278"/>
      <c r="G10" s="278"/>
      <c r="H10" s="278"/>
      <c r="I10" s="278"/>
      <c r="J10" s="278"/>
      <c r="K10" s="278"/>
      <c r="L10" s="278"/>
      <c r="M10" s="278"/>
      <c r="N10" s="278"/>
      <c r="O10" s="278"/>
      <c r="P10" s="45"/>
    </row>
    <row r="11" spans="1:16" ht="17.25" customHeight="1">
      <c r="A11" s="45"/>
      <c r="B11" s="278"/>
      <c r="C11" s="278"/>
      <c r="D11" s="278"/>
      <c r="E11" s="278"/>
      <c r="F11" s="278"/>
      <c r="G11" s="278"/>
      <c r="H11" s="278"/>
      <c r="I11" s="278"/>
      <c r="J11" s="278"/>
      <c r="K11" s="278"/>
      <c r="L11" s="278"/>
      <c r="M11" s="278"/>
      <c r="N11" s="278"/>
      <c r="O11" s="278"/>
      <c r="P11" s="45"/>
    </row>
    <row r="12" spans="1:16" ht="17.25" customHeight="1">
      <c r="A12" s="45"/>
      <c r="B12" s="278"/>
      <c r="C12" s="278"/>
      <c r="D12" s="278"/>
      <c r="E12" s="278"/>
      <c r="F12" s="278"/>
      <c r="G12" s="278"/>
      <c r="H12" s="278"/>
      <c r="I12" s="278"/>
      <c r="J12" s="278"/>
      <c r="K12" s="278"/>
      <c r="L12" s="278"/>
      <c r="M12" s="278"/>
      <c r="N12" s="278"/>
      <c r="O12" s="278"/>
      <c r="P12" s="45"/>
    </row>
    <row r="13" spans="1:16" ht="17.25" customHeight="1">
      <c r="A13" s="45"/>
      <c r="B13" s="278"/>
      <c r="C13" s="278"/>
      <c r="D13" s="278"/>
      <c r="E13" s="278"/>
      <c r="F13" s="278"/>
      <c r="G13" s="278"/>
      <c r="H13" s="278"/>
      <c r="I13" s="278"/>
      <c r="J13" s="278"/>
      <c r="K13" s="278"/>
      <c r="L13" s="278"/>
      <c r="M13" s="278"/>
      <c r="N13" s="278"/>
      <c r="O13" s="278"/>
      <c r="P13" s="45"/>
    </row>
    <row r="14" spans="1:16" ht="17.25" customHeight="1">
      <c r="A14" s="45"/>
      <c r="B14" s="278"/>
      <c r="C14" s="278"/>
      <c r="D14" s="278"/>
      <c r="E14" s="278"/>
      <c r="F14" s="278"/>
      <c r="G14" s="278"/>
      <c r="H14" s="278"/>
      <c r="I14" s="278"/>
      <c r="J14" s="278"/>
      <c r="K14" s="278"/>
      <c r="L14" s="278"/>
      <c r="M14" s="278"/>
      <c r="N14" s="278"/>
      <c r="O14" s="278"/>
      <c r="P14" s="45"/>
    </row>
    <row r="15" spans="1:16" ht="17.25" customHeight="1">
      <c r="A15" s="45"/>
      <c r="B15" s="278"/>
      <c r="C15" s="278"/>
      <c r="D15" s="278"/>
      <c r="E15" s="278"/>
      <c r="F15" s="278"/>
      <c r="G15" s="278"/>
      <c r="H15" s="278"/>
      <c r="I15" s="278"/>
      <c r="J15" s="278"/>
      <c r="K15" s="278"/>
      <c r="L15" s="278"/>
      <c r="M15" s="278"/>
      <c r="N15" s="278"/>
      <c r="O15" s="278"/>
      <c r="P15" s="45"/>
    </row>
    <row r="16" spans="1:16" ht="17.25" customHeight="1">
      <c r="A16" s="45"/>
      <c r="B16" s="278"/>
      <c r="C16" s="278"/>
      <c r="D16" s="278"/>
      <c r="E16" s="278"/>
      <c r="F16" s="278"/>
      <c r="G16" s="278"/>
      <c r="H16" s="278"/>
      <c r="I16" s="278"/>
      <c r="J16" s="278"/>
      <c r="K16" s="278"/>
      <c r="L16" s="278"/>
      <c r="M16" s="278"/>
      <c r="N16" s="278"/>
      <c r="O16" s="278"/>
      <c r="P16" s="45"/>
    </row>
    <row r="17" spans="1:16" ht="17.25" customHeight="1">
      <c r="A17" s="45"/>
      <c r="B17" s="278"/>
      <c r="C17" s="278"/>
      <c r="D17" s="278"/>
      <c r="E17" s="278"/>
      <c r="F17" s="278"/>
      <c r="G17" s="278"/>
      <c r="H17" s="278"/>
      <c r="I17" s="278"/>
      <c r="J17" s="278"/>
      <c r="K17" s="278"/>
      <c r="L17" s="278"/>
      <c r="M17" s="278"/>
      <c r="N17" s="278"/>
      <c r="O17" s="278"/>
      <c r="P17" s="45"/>
    </row>
    <row r="18" spans="1:16" ht="17.25" customHeight="1">
      <c r="A18" s="45"/>
      <c r="B18" s="278"/>
      <c r="C18" s="278"/>
      <c r="D18" s="278"/>
      <c r="E18" s="278"/>
      <c r="F18" s="278"/>
      <c r="G18" s="278"/>
      <c r="H18" s="278"/>
      <c r="I18" s="278"/>
      <c r="J18" s="278"/>
      <c r="K18" s="278"/>
      <c r="L18" s="278"/>
      <c r="M18" s="278"/>
      <c r="N18" s="278"/>
      <c r="O18" s="278"/>
      <c r="P18" s="45"/>
    </row>
    <row r="19" spans="1:16" ht="17.25" customHeight="1">
      <c r="A19" s="45"/>
      <c r="B19" s="278"/>
      <c r="C19" s="278"/>
      <c r="D19" s="278"/>
      <c r="E19" s="278"/>
      <c r="F19" s="278"/>
      <c r="G19" s="278"/>
      <c r="H19" s="278"/>
      <c r="I19" s="278"/>
      <c r="J19" s="278"/>
      <c r="K19" s="278"/>
      <c r="L19" s="278"/>
      <c r="M19" s="278"/>
      <c r="N19" s="278"/>
      <c r="O19" s="278"/>
      <c r="P19" s="45"/>
    </row>
    <row r="20" spans="1:16" ht="17.25" customHeight="1">
      <c r="A20" s="45"/>
      <c r="B20" s="278"/>
      <c r="C20" s="278"/>
      <c r="D20" s="278"/>
      <c r="E20" s="278"/>
      <c r="F20" s="278"/>
      <c r="G20" s="278"/>
      <c r="H20" s="278"/>
      <c r="I20" s="278"/>
      <c r="J20" s="278"/>
      <c r="K20" s="278"/>
      <c r="L20" s="278"/>
      <c r="M20" s="278"/>
      <c r="N20" s="278"/>
      <c r="O20" s="278"/>
      <c r="P20" s="45"/>
    </row>
    <row r="21" spans="1:16" ht="17.25" customHeight="1">
      <c r="A21" s="45"/>
      <c r="B21" s="278"/>
      <c r="C21" s="278"/>
      <c r="D21" s="278"/>
      <c r="E21" s="278"/>
      <c r="F21" s="278"/>
      <c r="G21" s="278"/>
      <c r="H21" s="278"/>
      <c r="I21" s="278"/>
      <c r="J21" s="278"/>
      <c r="K21" s="278"/>
      <c r="L21" s="278"/>
      <c r="M21" s="278"/>
      <c r="N21" s="278"/>
      <c r="O21" s="278"/>
      <c r="P21" s="45"/>
    </row>
    <row r="22" spans="1:16" ht="17.25" customHeight="1">
      <c r="A22" s="45"/>
      <c r="B22" s="278"/>
      <c r="C22" s="278"/>
      <c r="D22" s="278"/>
      <c r="E22" s="278"/>
      <c r="F22" s="278"/>
      <c r="G22" s="278"/>
      <c r="H22" s="278"/>
      <c r="I22" s="278"/>
      <c r="J22" s="278"/>
      <c r="K22" s="278"/>
      <c r="L22" s="278"/>
      <c r="M22" s="278"/>
      <c r="N22" s="278"/>
      <c r="O22" s="278"/>
      <c r="P22" s="45"/>
    </row>
    <row r="23" spans="1:16" ht="17.25" customHeight="1">
      <c r="A23" s="45"/>
      <c r="B23" s="278"/>
      <c r="C23" s="278"/>
      <c r="D23" s="278"/>
      <c r="E23" s="278"/>
      <c r="F23" s="278"/>
      <c r="G23" s="278"/>
      <c r="H23" s="278"/>
      <c r="I23" s="278"/>
      <c r="J23" s="278"/>
      <c r="K23" s="278"/>
      <c r="L23" s="278"/>
      <c r="M23" s="278"/>
      <c r="N23" s="278"/>
      <c r="O23" s="278"/>
      <c r="P23" s="45"/>
    </row>
    <row r="24" spans="1:16" ht="17.25" customHeight="1">
      <c r="A24" s="45"/>
      <c r="B24" s="278"/>
      <c r="C24" s="278"/>
      <c r="D24" s="278"/>
      <c r="E24" s="278"/>
      <c r="F24" s="278"/>
      <c r="G24" s="278"/>
      <c r="H24" s="278"/>
      <c r="I24" s="278"/>
      <c r="J24" s="278"/>
      <c r="K24" s="278"/>
      <c r="L24" s="278"/>
      <c r="M24" s="278"/>
      <c r="N24" s="278"/>
      <c r="O24" s="278"/>
      <c r="P24" s="45"/>
    </row>
    <row r="25" spans="1:16" ht="17.25" customHeight="1">
      <c r="A25" s="45"/>
      <c r="B25" s="278"/>
      <c r="C25" s="278"/>
      <c r="D25" s="278"/>
      <c r="E25" s="278"/>
      <c r="F25" s="278"/>
      <c r="G25" s="278"/>
      <c r="H25" s="278"/>
      <c r="I25" s="278"/>
      <c r="J25" s="278"/>
      <c r="K25" s="278"/>
      <c r="L25" s="278"/>
      <c r="M25" s="278"/>
      <c r="N25" s="278"/>
      <c r="O25" s="278"/>
      <c r="P25" s="45"/>
    </row>
    <row r="26" spans="1:16" ht="17.25" customHeight="1">
      <c r="A26" s="45"/>
      <c r="B26" s="278"/>
      <c r="C26" s="278"/>
      <c r="D26" s="278"/>
      <c r="E26" s="278"/>
      <c r="F26" s="278"/>
      <c r="G26" s="278"/>
      <c r="H26" s="278"/>
      <c r="I26" s="278"/>
      <c r="J26" s="278"/>
      <c r="K26" s="278"/>
      <c r="L26" s="278"/>
      <c r="M26" s="278"/>
      <c r="N26" s="278"/>
      <c r="O26" s="278"/>
      <c r="P26" s="45"/>
    </row>
    <row r="27" spans="1:16" ht="17.25" customHeight="1">
      <c r="A27" s="45"/>
      <c r="B27" s="45"/>
      <c r="C27" s="45"/>
      <c r="D27" s="45"/>
      <c r="E27" s="45"/>
      <c r="F27" s="45"/>
      <c r="G27" s="45"/>
      <c r="H27" s="45"/>
      <c r="I27" s="45"/>
      <c r="J27" s="45"/>
      <c r="K27" s="45"/>
      <c r="L27" s="45"/>
      <c r="M27" s="45"/>
      <c r="N27" s="45"/>
      <c r="O27" s="45"/>
      <c r="P27" s="45"/>
    </row>
    <row r="28" spans="1:16" ht="17.25" customHeight="1">
      <c r="A28" s="276" t="s">
        <v>1260</v>
      </c>
      <c r="B28" s="276"/>
      <c r="C28" s="276"/>
      <c r="D28" s="276"/>
      <c r="E28" s="276"/>
      <c r="F28" s="276"/>
      <c r="G28" s="276"/>
      <c r="H28" s="276"/>
      <c r="I28" s="276"/>
      <c r="J28" s="276"/>
      <c r="K28" s="276"/>
      <c r="L28" s="276"/>
      <c r="M28" s="276"/>
      <c r="N28" s="276"/>
      <c r="O28" s="276"/>
      <c r="P28" s="276"/>
    </row>
    <row r="45" spans="2:12" hidden="1">
      <c r="B45" s="181"/>
      <c r="C45" s="181"/>
      <c r="D45" s="181"/>
      <c r="E45" s="181"/>
      <c r="F45" s="181"/>
      <c r="G45" s="181"/>
      <c r="H45" s="181"/>
      <c r="I45" s="181"/>
      <c r="J45" s="181"/>
      <c r="K45" s="181"/>
      <c r="L45" s="181"/>
    </row>
  </sheetData>
  <sheetProtection sheet="1" formatCells="0" insertHyperlinks="0" sort="0" autoFilter="0" pivotTables="0"/>
  <mergeCells count="2">
    <mergeCell ref="A28:P28"/>
    <mergeCell ref="B6:O26"/>
  </mergeCells>
  <pageMargins left="0.25" right="0.25"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66FF66"/>
    <outlinePr summaryBelow="0"/>
    <pageSetUpPr autoPageBreaks="0" fitToPage="1"/>
  </sheetPr>
  <dimension ref="A1:P29"/>
  <sheetViews>
    <sheetView showGridLines="0" tabSelected="1" view="pageBreakPreview" zoomScaleNormal="115" zoomScaleSheetLayoutView="100" workbookViewId="0">
      <pane ySplit="3" topLeftCell="A7" activePane="bottomLeft" state="frozen"/>
      <selection activeCell="B6" sqref="B6:O26"/>
      <selection pane="bottomLeft" activeCell="K20" sqref="K20"/>
    </sheetView>
  </sheetViews>
  <sheetFormatPr defaultColWidth="0" defaultRowHeight="14.25"/>
  <cols>
    <col min="1" max="1" width="3.42578125" style="96" customWidth="1"/>
    <col min="2" max="2" width="8.28515625" style="96" bestFit="1" customWidth="1"/>
    <col min="3" max="3" width="11" style="96" customWidth="1"/>
    <col min="4" max="4" width="18" style="97" bestFit="1" customWidth="1"/>
    <col min="5" max="5" width="5" style="98" bestFit="1" customWidth="1"/>
    <col min="6" max="6" width="8.5703125" style="98" customWidth="1"/>
    <col min="7" max="7" width="21.42578125" style="96" customWidth="1"/>
    <col min="8" max="8" width="28.5703125" style="97" bestFit="1" customWidth="1"/>
    <col min="9" max="9" width="5.28515625" style="99" customWidth="1"/>
    <col min="10" max="10" width="15.7109375" style="100" customWidth="1"/>
    <col min="11" max="11" width="24" style="101" bestFit="1" customWidth="1"/>
    <col min="12" max="12" width="16.42578125" style="97" customWidth="1"/>
    <col min="13" max="13" width="3.5703125" style="102" customWidth="1"/>
    <col min="14" max="14" width="8.7109375" style="96" hidden="1" customWidth="1"/>
    <col min="15" max="15" width="9.5703125" style="96" hidden="1" customWidth="1"/>
    <col min="16" max="16" width="8.7109375" style="96" hidden="1" customWidth="1"/>
    <col min="17" max="16384" width="9.140625" style="96" hidden="1"/>
  </cols>
  <sheetData>
    <row r="1" spans="1:15" s="139" customFormat="1" ht="16.5" customHeight="1">
      <c r="D1" s="164"/>
      <c r="E1" s="166"/>
      <c r="F1" s="166"/>
      <c r="H1" s="164"/>
      <c r="I1" s="167"/>
      <c r="J1" s="168">
        <v>0</v>
      </c>
      <c r="K1" s="169"/>
      <c r="L1" s="164"/>
      <c r="M1" s="170"/>
    </row>
    <row r="2" spans="1:15" s="140" customFormat="1" ht="16.5" customHeight="1">
      <c r="A2" s="170"/>
      <c r="B2" s="170"/>
      <c r="C2" s="170"/>
      <c r="D2" s="171"/>
      <c r="E2" s="172"/>
      <c r="F2" s="172"/>
      <c r="G2" s="170"/>
      <c r="H2" s="171"/>
      <c r="I2" s="172"/>
      <c r="J2" s="172"/>
      <c r="K2" s="171"/>
      <c r="L2" s="171"/>
      <c r="M2" s="170"/>
      <c r="O2" s="170"/>
    </row>
    <row r="3" spans="1:15" s="183" customFormat="1" ht="26.25">
      <c r="A3" s="182"/>
      <c r="B3" s="173" t="s">
        <v>0</v>
      </c>
      <c r="C3" s="173" t="s">
        <v>1</v>
      </c>
      <c r="D3" s="173" t="s">
        <v>2</v>
      </c>
      <c r="E3" s="173" t="s">
        <v>986</v>
      </c>
      <c r="F3" s="173" t="s">
        <v>10</v>
      </c>
      <c r="G3" s="173"/>
      <c r="H3" s="173" t="s">
        <v>4</v>
      </c>
      <c r="I3" s="173" t="s">
        <v>5</v>
      </c>
      <c r="J3" s="174" t="s">
        <v>1246</v>
      </c>
      <c r="K3" s="174" t="s">
        <v>7</v>
      </c>
      <c r="L3" s="173" t="s">
        <v>8</v>
      </c>
      <c r="M3" s="182"/>
      <c r="O3" s="182"/>
    </row>
    <row r="4" spans="1:15" s="104" customFormat="1" ht="15" customHeight="1">
      <c r="A4" s="162" t="s">
        <v>17</v>
      </c>
      <c r="D4" s="105"/>
      <c r="E4" s="106"/>
      <c r="F4" s="106"/>
      <c r="H4" s="163" t="s">
        <v>1247</v>
      </c>
      <c r="I4" s="136">
        <v>1</v>
      </c>
      <c r="J4" s="137">
        <v>0</v>
      </c>
      <c r="K4" s="165">
        <f>J4*I4</f>
        <v>0</v>
      </c>
      <c r="L4" s="105"/>
      <c r="M4" s="109"/>
    </row>
    <row r="5" spans="1:15" ht="15" customHeight="1"/>
    <row r="6" spans="1:15" ht="18">
      <c r="A6" s="162" t="s">
        <v>34</v>
      </c>
      <c r="B6" s="106"/>
      <c r="C6" s="106"/>
      <c r="D6" s="105"/>
      <c r="E6" s="106"/>
      <c r="F6" s="106"/>
      <c r="G6" s="106"/>
      <c r="H6" s="163" t="s">
        <v>1247</v>
      </c>
      <c r="I6" s="136">
        <v>1</v>
      </c>
      <c r="J6" s="138">
        <v>0</v>
      </c>
      <c r="K6" s="165">
        <f>J6*I6</f>
        <v>0</v>
      </c>
      <c r="L6" s="138"/>
    </row>
    <row r="7" spans="1:15" ht="15">
      <c r="A7" s="103"/>
      <c r="B7" s="106"/>
      <c r="C7" s="106"/>
      <c r="D7" s="105"/>
      <c r="E7" s="106"/>
      <c r="F7" s="106"/>
      <c r="G7" s="106"/>
      <c r="H7" s="105"/>
      <c r="I7" s="107"/>
      <c r="J7" s="110"/>
      <c r="K7" s="108"/>
      <c r="L7" s="105"/>
    </row>
    <row r="8" spans="1:15" ht="18">
      <c r="A8" s="162" t="s">
        <v>1293</v>
      </c>
      <c r="B8" s="106"/>
      <c r="C8" s="106"/>
      <c r="D8" s="105"/>
      <c r="E8" s="106"/>
      <c r="F8" s="106"/>
      <c r="G8" s="106"/>
      <c r="H8" s="163" t="s">
        <v>1247</v>
      </c>
      <c r="I8" s="136">
        <v>1</v>
      </c>
      <c r="J8" s="138">
        <v>0</v>
      </c>
      <c r="K8" s="165">
        <f>J8*I8</f>
        <v>0</v>
      </c>
      <c r="L8" s="105"/>
    </row>
    <row r="9" spans="1:15" ht="15.75">
      <c r="A9" s="103"/>
      <c r="B9" s="106"/>
      <c r="C9" s="106"/>
      <c r="D9" s="105"/>
      <c r="E9" s="106"/>
      <c r="F9" s="106"/>
      <c r="G9" s="106"/>
      <c r="H9" s="105"/>
      <c r="I9" s="107"/>
      <c r="J9" s="110"/>
      <c r="K9" s="137"/>
      <c r="L9" s="105"/>
    </row>
    <row r="10" spans="1:15" ht="18">
      <c r="A10" s="162" t="s">
        <v>18</v>
      </c>
      <c r="B10" s="106"/>
      <c r="C10" s="106"/>
      <c r="D10" s="105"/>
      <c r="E10" s="106"/>
      <c r="F10" s="106"/>
      <c r="G10" s="106"/>
      <c r="H10" s="163" t="s">
        <v>1247</v>
      </c>
      <c r="I10" s="136">
        <v>1</v>
      </c>
      <c r="J10" s="138">
        <v>0</v>
      </c>
      <c r="K10" s="165">
        <f t="shared" ref="K10" si="0">J10*I10</f>
        <v>0</v>
      </c>
      <c r="L10" s="105"/>
    </row>
    <row r="11" spans="1:15" ht="15">
      <c r="A11" s="103"/>
      <c r="B11" s="106"/>
      <c r="C11" s="106"/>
      <c r="D11" s="105"/>
      <c r="E11" s="106"/>
      <c r="F11" s="106"/>
      <c r="G11" s="106"/>
      <c r="H11" s="105"/>
      <c r="I11" s="107"/>
      <c r="J11" s="110"/>
      <c r="K11" s="108"/>
      <c r="L11" s="105"/>
    </row>
    <row r="12" spans="1:15" ht="18">
      <c r="A12" s="162" t="s">
        <v>35</v>
      </c>
      <c r="B12" s="106"/>
      <c r="C12" s="106"/>
      <c r="D12" s="105"/>
      <c r="E12" s="106"/>
      <c r="F12" s="106"/>
      <c r="G12" s="106"/>
      <c r="H12" s="184" t="s">
        <v>1247</v>
      </c>
      <c r="I12" s="185">
        <v>1</v>
      </c>
      <c r="J12" s="186">
        <v>0</v>
      </c>
      <c r="K12" s="187">
        <f>J12*I12</f>
        <v>0</v>
      </c>
      <c r="L12" s="105"/>
    </row>
    <row r="13" spans="1:15" ht="15">
      <c r="B13" s="188"/>
      <c r="C13" s="188"/>
      <c r="D13" s="189"/>
      <c r="E13" s="188"/>
      <c r="F13" s="188"/>
      <c r="G13" s="188"/>
      <c r="H13" s="189"/>
      <c r="I13" s="190"/>
      <c r="J13" s="191"/>
      <c r="K13" s="192"/>
      <c r="L13" s="189"/>
    </row>
    <row r="14" spans="1:15" ht="18">
      <c r="A14" s="162" t="s">
        <v>36</v>
      </c>
      <c r="B14" s="106"/>
      <c r="C14" s="106"/>
      <c r="D14" s="105"/>
      <c r="E14" s="106"/>
      <c r="F14" s="106"/>
      <c r="G14" s="106"/>
      <c r="H14" s="163" t="s">
        <v>1247</v>
      </c>
      <c r="I14" s="136">
        <v>1</v>
      </c>
      <c r="J14" s="138">
        <v>0</v>
      </c>
      <c r="K14" s="165">
        <f>J14*I14</f>
        <v>0</v>
      </c>
      <c r="L14" s="105"/>
    </row>
    <row r="15" spans="1:15" ht="15">
      <c r="A15" s="103"/>
      <c r="B15" s="106"/>
      <c r="C15" s="106"/>
      <c r="D15" s="105"/>
      <c r="E15" s="106"/>
      <c r="F15" s="106"/>
      <c r="G15" s="106"/>
      <c r="H15" s="105"/>
      <c r="I15" s="107"/>
      <c r="J15" s="110"/>
      <c r="K15" s="108"/>
      <c r="L15" s="105"/>
    </row>
    <row r="16" spans="1:15">
      <c r="A16" s="102"/>
      <c r="B16" s="259" t="s">
        <v>16</v>
      </c>
      <c r="C16" s="260" t="s">
        <v>109</v>
      </c>
      <c r="D16" s="260"/>
      <c r="E16" s="261"/>
      <c r="F16" s="261"/>
      <c r="G16" s="259"/>
      <c r="H16" s="260"/>
      <c r="I16" s="262">
        <v>1</v>
      </c>
      <c r="J16" s="263"/>
      <c r="K16" s="264"/>
      <c r="L16" s="260" t="s">
        <v>1330</v>
      </c>
    </row>
    <row r="17" spans="1:12">
      <c r="A17" s="102"/>
      <c r="B17" s="259"/>
      <c r="C17" s="265"/>
      <c r="D17" s="265" t="s">
        <v>109</v>
      </c>
      <c r="E17" s="205" t="s">
        <v>1302</v>
      </c>
      <c r="F17" s="205"/>
      <c r="G17" s="206"/>
      <c r="H17" s="265"/>
      <c r="I17" s="207">
        <v>1</v>
      </c>
      <c r="J17" s="266"/>
      <c r="K17" s="267"/>
      <c r="L17" s="265" t="s">
        <v>1331</v>
      </c>
    </row>
    <row r="18" spans="1:12">
      <c r="A18" s="102"/>
      <c r="B18" s="259"/>
      <c r="C18" s="265"/>
      <c r="D18" s="265"/>
      <c r="E18" s="205"/>
      <c r="F18" s="205" t="s">
        <v>1305</v>
      </c>
      <c r="G18" s="206" t="s">
        <v>1009</v>
      </c>
      <c r="H18" s="265" t="s">
        <v>1332</v>
      </c>
      <c r="I18" s="207">
        <v>1</v>
      </c>
      <c r="J18" s="266"/>
      <c r="K18" s="267"/>
      <c r="L18" s="265" t="s">
        <v>1333</v>
      </c>
    </row>
    <row r="19" spans="1:12" ht="15" thickBot="1">
      <c r="A19" s="102"/>
      <c r="B19" s="259"/>
      <c r="C19" s="265"/>
      <c r="D19" s="265"/>
      <c r="E19" s="205"/>
      <c r="F19" s="205" t="s">
        <v>1317</v>
      </c>
      <c r="G19" s="206" t="s">
        <v>1157</v>
      </c>
      <c r="H19" s="265" t="s">
        <v>1342</v>
      </c>
      <c r="I19" s="207">
        <v>1</v>
      </c>
      <c r="J19" s="266"/>
      <c r="K19" s="267"/>
      <c r="L19" s="265" t="s">
        <v>1334</v>
      </c>
    </row>
    <row r="20" spans="1:12" ht="15.75" thickTop="1" thickBot="1">
      <c r="A20" s="102"/>
      <c r="B20" s="259"/>
      <c r="C20" s="268"/>
      <c r="D20" s="269"/>
      <c r="E20" s="270"/>
      <c r="F20" s="270" t="s">
        <v>1317</v>
      </c>
      <c r="G20" s="271" t="s">
        <v>1157</v>
      </c>
      <c r="H20" s="269" t="s">
        <v>1335</v>
      </c>
      <c r="I20" s="272">
        <v>1</v>
      </c>
      <c r="J20" s="273"/>
      <c r="K20" s="274"/>
      <c r="L20" s="275" t="s">
        <v>1336</v>
      </c>
    </row>
    <row r="21" spans="1:12" ht="15" thickTop="1">
      <c r="A21" s="102"/>
      <c r="B21" s="259"/>
      <c r="C21" s="265"/>
      <c r="D21" s="265"/>
      <c r="E21" s="205"/>
      <c r="F21" s="205" t="s">
        <v>1317</v>
      </c>
      <c r="G21" s="206" t="s">
        <v>1157</v>
      </c>
      <c r="H21" s="265" t="s">
        <v>1341</v>
      </c>
      <c r="I21" s="207">
        <v>1</v>
      </c>
      <c r="J21" s="266"/>
      <c r="K21" s="267"/>
      <c r="L21" s="265" t="s">
        <v>1338</v>
      </c>
    </row>
    <row r="22" spans="1:12">
      <c r="A22" s="102"/>
      <c r="B22" s="259"/>
      <c r="C22" s="265"/>
      <c r="D22" s="265"/>
      <c r="E22" s="205"/>
      <c r="F22" s="205" t="s">
        <v>1317</v>
      </c>
      <c r="G22" s="206" t="s">
        <v>1223</v>
      </c>
      <c r="H22" s="265" t="s">
        <v>1339</v>
      </c>
      <c r="I22" s="207">
        <v>2</v>
      </c>
      <c r="J22" s="266"/>
      <c r="K22" s="267"/>
      <c r="L22" s="265" t="s">
        <v>1340</v>
      </c>
    </row>
    <row r="23" spans="1:12">
      <c r="A23" s="102"/>
      <c r="B23" s="259"/>
      <c r="C23" s="265"/>
      <c r="D23" s="265"/>
      <c r="E23" s="205"/>
      <c r="F23" s="205" t="s">
        <v>1317</v>
      </c>
      <c r="G23" s="206" t="s">
        <v>1208</v>
      </c>
      <c r="H23" s="265" t="s">
        <v>1337</v>
      </c>
      <c r="I23" s="207">
        <v>2</v>
      </c>
      <c r="J23" s="266"/>
      <c r="K23" s="267"/>
      <c r="L23" s="265" t="s">
        <v>1343</v>
      </c>
    </row>
    <row r="24" spans="1:12" ht="15">
      <c r="A24" s="103"/>
      <c r="B24" s="106"/>
      <c r="C24" s="106"/>
      <c r="D24" s="105"/>
      <c r="E24" s="106"/>
      <c r="F24" s="106"/>
      <c r="G24" s="106"/>
      <c r="H24" s="105"/>
      <c r="I24" s="107"/>
      <c r="J24" s="110"/>
      <c r="K24" s="108"/>
      <c r="L24" s="105"/>
    </row>
    <row r="25" spans="1:12" ht="18">
      <c r="A25" s="162" t="s">
        <v>37</v>
      </c>
      <c r="B25" s="106"/>
      <c r="C25" s="106"/>
      <c r="D25" s="105"/>
      <c r="E25" s="105"/>
      <c r="F25" s="106"/>
      <c r="G25" s="106"/>
      <c r="H25" s="163" t="s">
        <v>1247</v>
      </c>
      <c r="I25" s="136">
        <v>1</v>
      </c>
      <c r="J25" s="138">
        <v>0</v>
      </c>
      <c r="K25" s="165">
        <f>J25*I25</f>
        <v>0</v>
      </c>
      <c r="L25" s="105"/>
    </row>
    <row r="26" spans="1:12" ht="15">
      <c r="A26" s="103"/>
      <c r="B26" s="106"/>
      <c r="C26" s="106"/>
      <c r="D26" s="96"/>
      <c r="E26" s="106"/>
      <c r="F26" s="106"/>
      <c r="G26" s="106"/>
      <c r="H26" s="105"/>
      <c r="I26" s="107"/>
      <c r="J26" s="110"/>
      <c r="K26" s="108"/>
      <c r="L26" s="105"/>
    </row>
    <row r="27" spans="1:12" ht="18">
      <c r="A27" s="162" t="s">
        <v>38</v>
      </c>
      <c r="B27" s="133"/>
      <c r="C27" s="133"/>
      <c r="D27" s="134"/>
      <c r="E27" s="135"/>
      <c r="F27" s="135"/>
      <c r="G27" s="133"/>
      <c r="H27" s="163" t="s">
        <v>1247</v>
      </c>
      <c r="I27" s="136">
        <v>1</v>
      </c>
      <c r="J27" s="137">
        <v>0</v>
      </c>
      <c r="K27" s="165">
        <f>J27*I27</f>
        <v>0</v>
      </c>
      <c r="L27" s="134"/>
    </row>
    <row r="29" spans="1:12">
      <c r="A29" s="193" t="s">
        <v>39</v>
      </c>
      <c r="B29" s="193"/>
      <c r="C29" s="193"/>
      <c r="D29" s="194"/>
      <c r="E29" s="195"/>
      <c r="F29" s="195"/>
      <c r="G29" s="193"/>
      <c r="H29" s="194" t="s">
        <v>1247</v>
      </c>
      <c r="I29" s="196">
        <v>1</v>
      </c>
      <c r="J29" s="197">
        <v>0</v>
      </c>
      <c r="K29" s="197"/>
      <c r="L29" s="194"/>
    </row>
  </sheetData>
  <sheetProtection password="A565" sheet="1" objects="1" scenarios="1" formatCells="0" insertRows="0" deleteRows="0" sort="0" autoFilter="0" pivotTables="0"/>
  <pageMargins left="0.25" right="0.25" top="0.75" bottom="0.75" header="0.3" footer="0.3"/>
  <pageSetup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114300</xdr:colOff>
                    <xdr:row>0</xdr:row>
                    <xdr:rowOff>76200</xdr:rowOff>
                  </from>
                  <to>
                    <xdr:col>2</xdr:col>
                    <xdr:colOff>619125</xdr:colOff>
                    <xdr:row>1</xdr:row>
                    <xdr:rowOff>85725</xdr:rowOff>
                  </to>
                </anchor>
              </controlPr>
            </control>
          </mc:Choice>
        </mc:AlternateContent>
        <mc:AlternateContent xmlns:mc="http://schemas.openxmlformats.org/markup-compatibility/2006">
          <mc:Choice Requires="x14">
            <control shapeId="1026" r:id="rId5" name="Button 2">
              <controlPr defaultSize="0" print="0" autoFill="0" autoPict="0" macro="[0]!AddMPTF">
                <anchor moveWithCells="1">
                  <from>
                    <xdr:col>4</xdr:col>
                    <xdr:colOff>66675</xdr:colOff>
                    <xdr:row>0</xdr:row>
                    <xdr:rowOff>76200</xdr:rowOff>
                  </from>
                  <to>
                    <xdr:col>6</xdr:col>
                    <xdr:colOff>390525</xdr:colOff>
                    <xdr:row>1</xdr:row>
                    <xdr:rowOff>85725</xdr:rowOff>
                  </to>
                </anchor>
              </controlPr>
            </control>
          </mc:Choice>
        </mc:AlternateContent>
        <mc:AlternateContent xmlns:mc="http://schemas.openxmlformats.org/markup-compatibility/2006">
          <mc:Choice Requires="x14">
            <control shapeId="1053" r:id="rId6" name="Button 29">
              <controlPr defaultSize="0" print="0" autoFill="0" autoPict="0" macro="[0]!PDFExport">
                <anchor moveWithCells="1" sizeWithCells="1">
                  <from>
                    <xdr:col>11</xdr:col>
                    <xdr:colOff>0</xdr:colOff>
                    <xdr:row>0</xdr:row>
                    <xdr:rowOff>66675</xdr:rowOff>
                  </from>
                  <to>
                    <xdr:col>12</xdr:col>
                    <xdr:colOff>200025</xdr:colOff>
                    <xdr:row>1</xdr:row>
                    <xdr:rowOff>76200</xdr:rowOff>
                  </to>
                </anchor>
              </controlPr>
            </control>
          </mc:Choice>
        </mc:AlternateContent>
        <mc:AlternateContent xmlns:mc="http://schemas.openxmlformats.org/markup-compatibility/2006">
          <mc:Choice Requires="x14">
            <control shapeId="1057" r:id="rId7" name="Button 33">
              <controlPr defaultSize="0" print="0" autoFill="0" autoPict="0" macro="[0]!DeletePart">
                <anchor moveWithCells="1" sizeWithCells="1">
                  <from>
                    <xdr:col>7</xdr:col>
                    <xdr:colOff>76200</xdr:colOff>
                    <xdr:row>0</xdr:row>
                    <xdr:rowOff>66675</xdr:rowOff>
                  </from>
                  <to>
                    <xdr:col>7</xdr:col>
                    <xdr:colOff>1552575</xdr:colOff>
                    <xdr:row>1</xdr:row>
                    <xdr:rowOff>76200</xdr:rowOff>
                  </to>
                </anchor>
              </controlPr>
            </control>
          </mc:Choice>
        </mc:AlternateContent>
        <mc:AlternateContent xmlns:mc="http://schemas.openxmlformats.org/markup-compatibility/2006">
          <mc:Choice Requires="x14">
            <control shapeId="1058" r:id="rId8" name="Button 34">
              <controlPr defaultSize="0" print="0" autoFill="0" autoPict="0" macro="[0]!NewPart">
                <anchor moveWithCells="1">
                  <from>
                    <xdr:col>3</xdr:col>
                    <xdr:colOff>0</xdr:colOff>
                    <xdr:row>0</xdr:row>
                    <xdr:rowOff>76200</xdr:rowOff>
                  </from>
                  <to>
                    <xdr:col>3</xdr:col>
                    <xdr:colOff>1181100</xdr:colOff>
                    <xdr:row>1</xdr:row>
                    <xdr:rowOff>85725</xdr:rowOff>
                  </to>
                </anchor>
              </controlPr>
            </control>
          </mc:Choice>
        </mc:AlternateContent>
        <mc:AlternateContent xmlns:mc="http://schemas.openxmlformats.org/markup-compatibility/2006">
          <mc:Choice Requires="x14">
            <control shapeId="1059" r:id="rId9" name="Button 35">
              <controlPr defaultSize="0" print="0" autoFill="0" autoPict="0" macro="[0]!logistic">
                <anchor moveWithCells="1" sizeWithCells="1">
                  <from>
                    <xdr:col>9</xdr:col>
                    <xdr:colOff>228600</xdr:colOff>
                    <xdr:row>0</xdr:row>
                    <xdr:rowOff>66675</xdr:rowOff>
                  </from>
                  <to>
                    <xdr:col>10</xdr:col>
                    <xdr:colOff>476250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P47"/>
  <sheetViews>
    <sheetView showGridLines="0" workbookViewId="0">
      <selection activeCell="B9" sqref="B9:J9"/>
    </sheetView>
  </sheetViews>
  <sheetFormatPr defaultColWidth="0" defaultRowHeight="14.25"/>
  <cols>
    <col min="1" max="1" width="9.140625" style="141" customWidth="1"/>
    <col min="2" max="2" width="9.140625" style="142" customWidth="1"/>
    <col min="3" max="11" width="9.140625" style="143" customWidth="1"/>
    <col min="12" max="16" width="0" style="143" hidden="1" customWidth="1"/>
    <col min="17" max="16384" width="9.140625" style="143" hidden="1"/>
  </cols>
  <sheetData>
    <row r="1" spans="1:11" ht="27">
      <c r="B1" s="282" t="s">
        <v>1265</v>
      </c>
      <c r="C1" s="282"/>
      <c r="D1" s="282"/>
      <c r="E1" s="282"/>
      <c r="F1" s="282"/>
      <c r="G1" s="282"/>
      <c r="H1" s="282"/>
      <c r="I1" s="282"/>
      <c r="J1" s="282"/>
    </row>
    <row r="3" spans="1:11" ht="15">
      <c r="A3" s="151">
        <v>1</v>
      </c>
      <c r="B3" s="281" t="s">
        <v>1278</v>
      </c>
      <c r="C3" s="281"/>
      <c r="D3" s="281"/>
      <c r="E3" s="281"/>
      <c r="F3" s="281"/>
      <c r="G3" s="281"/>
      <c r="H3" s="281"/>
      <c r="I3" s="281"/>
      <c r="J3" s="281"/>
    </row>
    <row r="4" spans="1:11" ht="15">
      <c r="A4" s="151">
        <v>2</v>
      </c>
      <c r="B4" s="281" t="s">
        <v>1263</v>
      </c>
      <c r="C4" s="281"/>
      <c r="D4" s="281"/>
      <c r="E4" s="281"/>
      <c r="F4" s="281"/>
      <c r="G4" s="281"/>
      <c r="H4" s="281"/>
      <c r="I4" s="281"/>
      <c r="J4" s="281"/>
    </row>
    <row r="5" spans="1:11" ht="15">
      <c r="A5" s="151">
        <v>3</v>
      </c>
      <c r="B5" s="281" t="s">
        <v>1264</v>
      </c>
      <c r="C5" s="281"/>
      <c r="D5" s="281"/>
      <c r="E5" s="281"/>
      <c r="F5" s="281"/>
      <c r="G5" s="281"/>
      <c r="H5" s="281"/>
      <c r="I5" s="281"/>
      <c r="J5" s="281"/>
    </row>
    <row r="6" spans="1:11" ht="15">
      <c r="A6" s="151">
        <v>4</v>
      </c>
      <c r="B6" s="281" t="s">
        <v>1267</v>
      </c>
      <c r="C6" s="281"/>
      <c r="D6" s="281"/>
      <c r="E6" s="281"/>
      <c r="F6" s="281"/>
      <c r="G6" s="281"/>
      <c r="H6" s="281"/>
      <c r="I6" s="281"/>
      <c r="J6" s="281"/>
    </row>
    <row r="7" spans="1:11" ht="15">
      <c r="A7" s="151">
        <v>5</v>
      </c>
      <c r="B7" s="281" t="s">
        <v>1266</v>
      </c>
      <c r="C7" s="281"/>
      <c r="D7" s="281"/>
      <c r="E7" s="281"/>
      <c r="F7" s="281"/>
      <c r="G7" s="281"/>
      <c r="H7" s="281"/>
      <c r="I7" s="281"/>
      <c r="J7" s="281"/>
    </row>
    <row r="8" spans="1:11" ht="15">
      <c r="A8" s="144">
        <v>6</v>
      </c>
      <c r="B8" s="281" t="s">
        <v>1268</v>
      </c>
      <c r="C8" s="281"/>
      <c r="D8" s="281"/>
      <c r="E8" s="281"/>
      <c r="F8" s="281"/>
      <c r="G8" s="281"/>
      <c r="H8" s="281"/>
      <c r="I8" s="281"/>
      <c r="J8" s="281"/>
    </row>
    <row r="9" spans="1:11" ht="15">
      <c r="A9" s="144">
        <v>7</v>
      </c>
      <c r="B9" s="281" t="s">
        <v>1298</v>
      </c>
      <c r="C9" s="281"/>
      <c r="D9" s="281"/>
      <c r="E9" s="281"/>
      <c r="F9" s="281"/>
      <c r="G9" s="281"/>
      <c r="H9" s="281"/>
      <c r="I9" s="281"/>
      <c r="J9" s="281"/>
    </row>
    <row r="10" spans="1:11" s="149" customFormat="1" ht="15">
      <c r="A10" s="157"/>
      <c r="B10" s="158"/>
      <c r="C10" s="158"/>
      <c r="D10" s="158"/>
      <c r="E10" s="158"/>
      <c r="F10" s="158"/>
      <c r="G10" s="158"/>
      <c r="H10" s="158"/>
      <c r="I10" s="158"/>
      <c r="J10" s="158"/>
    </row>
    <row r="11" spans="1:11" ht="15">
      <c r="A11" s="281" t="s">
        <v>1294</v>
      </c>
      <c r="B11" s="281"/>
      <c r="C11" s="281"/>
      <c r="D11" s="281"/>
      <c r="E11" s="281"/>
      <c r="F11" s="281"/>
      <c r="G11" s="281"/>
      <c r="H11" s="281"/>
      <c r="I11" s="281"/>
      <c r="J11" s="281"/>
      <c r="K11" s="281"/>
    </row>
    <row r="13" spans="1:11" ht="15">
      <c r="A13" s="146" t="s">
        <v>1248</v>
      </c>
      <c r="B13" s="147"/>
      <c r="C13" s="147"/>
      <c r="D13" s="147"/>
      <c r="E13" s="147"/>
      <c r="F13" s="147"/>
      <c r="G13" s="147"/>
      <c r="H13" s="147"/>
      <c r="I13" s="147"/>
      <c r="J13" s="147"/>
    </row>
    <row r="14" spans="1:11" ht="15">
      <c r="B14" s="142">
        <v>1</v>
      </c>
      <c r="C14" s="145" t="s">
        <v>1249</v>
      </c>
    </row>
    <row r="15" spans="1:11">
      <c r="B15" s="142">
        <v>2</v>
      </c>
      <c r="C15" s="143" t="s">
        <v>1250</v>
      </c>
    </row>
    <row r="16" spans="1:11">
      <c r="B16" s="142">
        <v>3</v>
      </c>
      <c r="C16" s="143" t="s">
        <v>1252</v>
      </c>
    </row>
    <row r="17" spans="1:10">
      <c r="B17" s="142">
        <v>4</v>
      </c>
      <c r="C17" s="143" t="s">
        <v>1253</v>
      </c>
    </row>
    <row r="20" spans="1:10" ht="15">
      <c r="A20" s="146" t="s">
        <v>1251</v>
      </c>
      <c r="B20" s="147"/>
      <c r="C20" s="147"/>
      <c r="D20" s="147"/>
      <c r="E20" s="147"/>
      <c r="F20" s="147"/>
      <c r="G20" s="147"/>
      <c r="H20" s="147"/>
      <c r="I20" s="147"/>
      <c r="J20" s="147"/>
    </row>
    <row r="21" spans="1:10" ht="15">
      <c r="B21" s="142">
        <v>1</v>
      </c>
      <c r="C21" s="145" t="s">
        <v>1254</v>
      </c>
    </row>
    <row r="22" spans="1:10">
      <c r="B22" s="142">
        <v>2</v>
      </c>
      <c r="C22" s="143" t="s">
        <v>1255</v>
      </c>
    </row>
    <row r="23" spans="1:10">
      <c r="B23" s="142">
        <v>3</v>
      </c>
      <c r="C23" s="143" t="s">
        <v>1252</v>
      </c>
    </row>
    <row r="24" spans="1:10">
      <c r="B24" s="142">
        <v>4</v>
      </c>
      <c r="C24" s="143" t="s">
        <v>1253</v>
      </c>
    </row>
    <row r="26" spans="1:10" ht="15">
      <c r="A26" s="146" t="s">
        <v>1256</v>
      </c>
      <c r="B26" s="147"/>
      <c r="C26" s="147"/>
      <c r="D26" s="147"/>
      <c r="E26" s="147"/>
      <c r="F26" s="147"/>
      <c r="G26" s="147"/>
      <c r="H26" s="147"/>
      <c r="I26" s="147"/>
      <c r="J26" s="147"/>
    </row>
    <row r="27" spans="1:10" ht="15">
      <c r="B27" s="142">
        <v>1</v>
      </c>
      <c r="C27" s="148" t="s">
        <v>1257</v>
      </c>
    </row>
    <row r="28" spans="1:10">
      <c r="B28" s="142">
        <v>2</v>
      </c>
      <c r="C28" s="149" t="s">
        <v>1258</v>
      </c>
    </row>
    <row r="29" spans="1:10">
      <c r="B29" s="142">
        <v>3</v>
      </c>
      <c r="C29" s="149" t="s">
        <v>1259</v>
      </c>
    </row>
    <row r="32" spans="1:10" ht="15">
      <c r="A32" s="146" t="s">
        <v>1261</v>
      </c>
      <c r="B32" s="147"/>
      <c r="C32" s="147"/>
      <c r="D32" s="147"/>
      <c r="E32" s="147"/>
      <c r="F32" s="147"/>
      <c r="G32" s="147"/>
      <c r="H32" s="147"/>
      <c r="I32" s="147"/>
      <c r="J32" s="147"/>
    </row>
    <row r="33" spans="1:10" ht="15">
      <c r="B33" s="142">
        <v>1</v>
      </c>
      <c r="C33" s="148" t="s">
        <v>1262</v>
      </c>
    </row>
    <row r="34" spans="1:10">
      <c r="B34" s="142">
        <v>2</v>
      </c>
      <c r="C34" s="150" t="s">
        <v>1263</v>
      </c>
    </row>
    <row r="35" spans="1:10">
      <c r="C35" s="149"/>
    </row>
    <row r="36" spans="1:10" ht="15">
      <c r="A36" s="146" t="s">
        <v>1295</v>
      </c>
      <c r="B36" s="147"/>
      <c r="C36" s="147"/>
      <c r="D36" s="147"/>
      <c r="E36" s="147"/>
      <c r="F36" s="147"/>
      <c r="G36" s="147"/>
      <c r="H36" s="147"/>
      <c r="I36" s="147"/>
      <c r="J36" s="147"/>
    </row>
    <row r="37" spans="1:10">
      <c r="B37" s="142">
        <v>1</v>
      </c>
      <c r="C37" s="143" t="s">
        <v>1296</v>
      </c>
    </row>
    <row r="38" spans="1:10">
      <c r="B38" s="142">
        <v>2</v>
      </c>
      <c r="C38" s="143" t="s">
        <v>1297</v>
      </c>
    </row>
    <row r="40" spans="1:10" ht="15">
      <c r="A40" s="146" t="s">
        <v>1323</v>
      </c>
      <c r="B40" s="147"/>
      <c r="C40" s="147"/>
      <c r="D40" s="147"/>
      <c r="E40" s="147"/>
      <c r="F40" s="147"/>
      <c r="G40" s="147"/>
      <c r="H40" s="147"/>
      <c r="I40" s="147"/>
      <c r="J40" s="147"/>
    </row>
    <row r="41" spans="1:10">
      <c r="B41" s="142">
        <v>1</v>
      </c>
      <c r="C41" s="143" t="s">
        <v>1324</v>
      </c>
    </row>
    <row r="42" spans="1:10">
      <c r="B42" s="142">
        <v>2</v>
      </c>
      <c r="C42" s="143" t="s">
        <v>1325</v>
      </c>
    </row>
    <row r="43" spans="1:10">
      <c r="B43" s="142">
        <v>3</v>
      </c>
      <c r="C43" s="143" t="s">
        <v>1326</v>
      </c>
    </row>
    <row r="44" spans="1:10">
      <c r="C44" s="279" t="s">
        <v>1328</v>
      </c>
      <c r="D44" s="279"/>
      <c r="E44" s="279"/>
      <c r="F44" s="279"/>
      <c r="G44" s="279"/>
      <c r="H44" s="279"/>
      <c r="I44" s="279"/>
      <c r="J44" s="279"/>
    </row>
    <row r="45" spans="1:10">
      <c r="C45" s="279"/>
      <c r="D45" s="279"/>
      <c r="E45" s="279"/>
      <c r="F45" s="279"/>
      <c r="G45" s="279"/>
      <c r="H45" s="279"/>
      <c r="I45" s="279"/>
      <c r="J45" s="279"/>
    </row>
    <row r="46" spans="1:10">
      <c r="C46" s="280" t="s">
        <v>1327</v>
      </c>
      <c r="D46" s="280"/>
      <c r="E46" s="280"/>
      <c r="F46" s="280"/>
      <c r="G46" s="280"/>
      <c r="H46" s="280"/>
      <c r="I46" s="280"/>
      <c r="J46" s="280"/>
    </row>
    <row r="47" spans="1:10">
      <c r="C47" s="280"/>
      <c r="D47" s="280"/>
      <c r="E47" s="280"/>
      <c r="F47" s="280"/>
      <c r="G47" s="280"/>
      <c r="H47" s="280"/>
      <c r="I47" s="280"/>
      <c r="J47" s="280"/>
    </row>
  </sheetData>
  <sheetProtection password="A565" sheet="1" objects="1" scenarios="1"/>
  <mergeCells count="11">
    <mergeCell ref="C44:J45"/>
    <mergeCell ref="C46:J47"/>
    <mergeCell ref="B3:J3"/>
    <mergeCell ref="B4:J4"/>
    <mergeCell ref="B1:J1"/>
    <mergeCell ref="A11:K11"/>
    <mergeCell ref="B5:J5"/>
    <mergeCell ref="B6:J6"/>
    <mergeCell ref="B7:J7"/>
    <mergeCell ref="B8:J8"/>
    <mergeCell ref="B9:J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59999389629810485"/>
  </sheetPr>
  <dimension ref="A1:R37"/>
  <sheetViews>
    <sheetView showGridLines="0" workbookViewId="0">
      <selection activeCell="G11" sqref="G11"/>
    </sheetView>
  </sheetViews>
  <sheetFormatPr defaultColWidth="0" defaultRowHeight="15" zeroHeight="1"/>
  <cols>
    <col min="1" max="1" width="6.28515625" customWidth="1"/>
    <col min="2" max="2" width="3.85546875" customWidth="1"/>
    <col min="3" max="18" width="9.140625" customWidth="1"/>
    <col min="19" max="16384" width="9.140625" hidden="1"/>
  </cols>
  <sheetData>
    <row r="1" spans="3:18" ht="38.25">
      <c r="C1" s="152" t="s">
        <v>1269</v>
      </c>
    </row>
    <row r="2" spans="3:18">
      <c r="C2" s="153"/>
    </row>
    <row r="3" spans="3:18" ht="25.5" customHeight="1">
      <c r="C3" s="283" t="s">
        <v>1270</v>
      </c>
      <c r="D3" s="283"/>
      <c r="E3" s="283"/>
      <c r="F3" s="283"/>
      <c r="G3" s="283"/>
      <c r="H3" s="283"/>
      <c r="I3" s="283"/>
      <c r="J3" s="283"/>
      <c r="K3" s="283"/>
      <c r="L3" s="283"/>
      <c r="M3" s="283"/>
      <c r="N3" s="283"/>
      <c r="O3" s="283"/>
      <c r="P3" s="283"/>
      <c r="Q3" s="283"/>
      <c r="R3" s="252"/>
    </row>
    <row r="4" spans="3:18" ht="25.5" customHeight="1">
      <c r="C4" s="283"/>
      <c r="D4" s="283"/>
      <c r="E4" s="283"/>
      <c r="F4" s="283"/>
      <c r="G4" s="283"/>
      <c r="H4" s="283"/>
      <c r="I4" s="283"/>
      <c r="J4" s="283"/>
      <c r="K4" s="283"/>
      <c r="L4" s="283"/>
      <c r="M4" s="283"/>
      <c r="N4" s="283"/>
      <c r="O4" s="283"/>
      <c r="P4" s="283"/>
      <c r="Q4" s="283"/>
      <c r="R4" s="252"/>
    </row>
    <row r="5" spans="3:18" ht="75" customHeight="1">
      <c r="C5" s="284" t="s">
        <v>1271</v>
      </c>
      <c r="D5" s="284"/>
      <c r="E5" s="284"/>
      <c r="F5" s="284"/>
      <c r="G5" s="284"/>
      <c r="H5" s="284"/>
      <c r="I5" s="284"/>
      <c r="J5" s="284"/>
      <c r="K5" s="284"/>
      <c r="L5" s="284"/>
      <c r="M5" s="284"/>
      <c r="N5" s="284"/>
      <c r="O5" s="284"/>
      <c r="P5" s="284"/>
      <c r="Q5" s="284"/>
    </row>
    <row r="6" spans="3:18">
      <c r="C6" s="155"/>
    </row>
    <row r="7" spans="3:18" ht="16.5">
      <c r="C7" s="156" t="s">
        <v>1272</v>
      </c>
    </row>
    <row r="8" spans="3:18">
      <c r="C8" s="155"/>
    </row>
    <row r="9" spans="3:18" ht="16.5">
      <c r="C9" s="156" t="s">
        <v>1273</v>
      </c>
    </row>
    <row r="10" spans="3:18">
      <c r="C10" s="155"/>
    </row>
    <row r="11" spans="3:18" ht="16.5">
      <c r="C11" s="156" t="s">
        <v>1274</v>
      </c>
    </row>
    <row r="12" spans="3:18">
      <c r="C12" s="155"/>
    </row>
    <row r="13" spans="3:18" ht="16.5">
      <c r="C13" s="156" t="s">
        <v>1275</v>
      </c>
    </row>
    <row r="14" spans="3:18">
      <c r="C14" s="155"/>
    </row>
    <row r="15" spans="3:18" ht="16.5">
      <c r="C15" s="198" t="s">
        <v>1299</v>
      </c>
    </row>
    <row r="16" spans="3:18">
      <c r="C16" s="155"/>
    </row>
    <row r="17" spans="3:3" ht="16.5">
      <c r="C17" s="156" t="s">
        <v>1276</v>
      </c>
    </row>
    <row r="18" spans="3:3">
      <c r="C18" s="153"/>
    </row>
    <row r="19" spans="3:3" ht="25.5">
      <c r="C19" s="154" t="s">
        <v>1277</v>
      </c>
    </row>
    <row r="20" spans="3:3" ht="25.5">
      <c r="C20" s="154"/>
    </row>
    <row r="21" spans="3:3" ht="25.5">
      <c r="C21" s="154"/>
    </row>
    <row r="22" spans="3:3"/>
    <row r="23" spans="3:3"/>
    <row r="24" spans="3:3"/>
    <row r="25" spans="3:3"/>
    <row r="26" spans="3:3"/>
    <row r="27" spans="3:3"/>
    <row r="28" spans="3:3"/>
    <row r="29" spans="3:3"/>
    <row r="30" spans="3:3"/>
    <row r="31" spans="3:3"/>
    <row r="32" spans="3:3"/>
    <row r="33"/>
    <row r="34"/>
    <row r="35"/>
    <row r="36"/>
    <row r="37"/>
  </sheetData>
  <sheetProtection password="A565" sheet="1" objects="1" scenarios="1"/>
  <mergeCells count="2">
    <mergeCell ref="C3:Q4"/>
    <mergeCell ref="C5:Q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N24"/>
  <sheetViews>
    <sheetView zoomScale="115" zoomScaleNormal="115" workbookViewId="0">
      <selection activeCell="G14" sqref="G14"/>
    </sheetView>
  </sheetViews>
  <sheetFormatPr defaultRowHeight="14.25"/>
  <cols>
    <col min="1" max="1" width="10" style="3" customWidth="1"/>
    <col min="2" max="2" width="9.140625" style="3"/>
    <col min="3" max="3" width="10.42578125" style="31" bestFit="1" customWidth="1"/>
    <col min="4" max="4" width="9.140625" style="31"/>
    <col min="5" max="5" width="10.85546875" style="1" bestFit="1" customWidth="1"/>
    <col min="6" max="6" width="9.140625" style="1"/>
    <col min="7" max="7" width="9.140625" style="3"/>
    <col min="8" max="8" width="11.7109375" style="31" bestFit="1" customWidth="1"/>
    <col min="9" max="9" width="9.140625" style="31"/>
    <col min="10" max="10" width="13.42578125" style="44" customWidth="1"/>
    <col min="11" max="11" width="17.28515625" style="31" bestFit="1" customWidth="1"/>
    <col min="12" max="12" width="14.5703125" style="47" customWidth="1"/>
    <col min="13" max="16384" width="9.140625" style="3"/>
  </cols>
  <sheetData>
    <row r="2" spans="2:14" ht="30">
      <c r="B2" s="27" t="s">
        <v>0</v>
      </c>
      <c r="C2" s="28" t="s">
        <v>1</v>
      </c>
      <c r="D2" s="27" t="s">
        <v>2</v>
      </c>
      <c r="E2" s="27" t="s">
        <v>3</v>
      </c>
      <c r="F2" s="27" t="s">
        <v>10</v>
      </c>
      <c r="G2" s="27"/>
      <c r="H2" s="28" t="s">
        <v>4</v>
      </c>
      <c r="I2" s="29" t="s">
        <v>5</v>
      </c>
      <c r="J2" s="43" t="s">
        <v>6</v>
      </c>
      <c r="K2" s="29" t="s">
        <v>7</v>
      </c>
      <c r="L2" s="27" t="s">
        <v>8</v>
      </c>
    </row>
    <row r="3" spans="2:14" ht="15" customHeight="1">
      <c r="B3" s="19" t="s">
        <v>11</v>
      </c>
      <c r="C3" s="30"/>
      <c r="D3" s="30"/>
      <c r="E3" s="111"/>
      <c r="F3" s="111"/>
      <c r="G3" s="19"/>
      <c r="H3" s="30"/>
      <c r="I3" s="48"/>
      <c r="J3" s="49"/>
      <c r="K3" s="122"/>
      <c r="L3" s="30"/>
    </row>
    <row r="4" spans="2:14">
      <c r="B4" s="19"/>
      <c r="E4" s="112"/>
      <c r="F4" s="112"/>
      <c r="I4" s="50"/>
      <c r="J4" s="51"/>
      <c r="K4" s="123"/>
      <c r="L4" s="31"/>
    </row>
    <row r="5" spans="2:14" ht="15" customHeight="1">
      <c r="B5" s="32" t="s">
        <v>12</v>
      </c>
      <c r="C5" s="33"/>
      <c r="D5" s="33"/>
      <c r="E5" s="113"/>
      <c r="F5" s="113"/>
      <c r="G5" s="32"/>
      <c r="H5" s="33"/>
      <c r="I5" s="52"/>
      <c r="J5" s="53"/>
      <c r="K5" s="124"/>
      <c r="L5" s="33"/>
    </row>
    <row r="6" spans="2:14">
      <c r="B6" s="32"/>
      <c r="E6" s="112"/>
      <c r="F6" s="112"/>
      <c r="I6" s="50"/>
      <c r="J6" s="51"/>
      <c r="K6" s="123"/>
      <c r="L6" s="31"/>
    </row>
    <row r="7" spans="2:14" ht="15" customHeight="1">
      <c r="B7" s="20" t="s">
        <v>13</v>
      </c>
      <c r="C7" s="34"/>
      <c r="D7" s="34"/>
      <c r="E7" s="114"/>
      <c r="F7" s="114"/>
      <c r="G7" s="20"/>
      <c r="H7" s="34"/>
      <c r="I7" s="54"/>
      <c r="J7" s="55"/>
      <c r="K7" s="125"/>
      <c r="L7" s="34"/>
    </row>
    <row r="8" spans="2:14">
      <c r="B8" s="20"/>
      <c r="E8" s="112"/>
      <c r="F8" s="112"/>
      <c r="I8" s="50"/>
      <c r="J8" s="51"/>
      <c r="K8" s="123"/>
      <c r="L8" s="31"/>
    </row>
    <row r="9" spans="2:14" ht="15" customHeight="1">
      <c r="B9" s="21" t="s">
        <v>14</v>
      </c>
      <c r="C9" s="35"/>
      <c r="D9" s="35"/>
      <c r="E9" s="115"/>
      <c r="F9" s="115"/>
      <c r="G9" s="21"/>
      <c r="H9" s="35"/>
      <c r="I9" s="56"/>
      <c r="J9" s="57"/>
      <c r="K9" s="126"/>
      <c r="L9" s="35"/>
    </row>
    <row r="10" spans="2:14">
      <c r="B10" s="21"/>
      <c r="E10" s="112"/>
      <c r="F10" s="112"/>
      <c r="I10" s="50"/>
      <c r="J10" s="51"/>
      <c r="K10" s="123"/>
      <c r="L10" s="31"/>
    </row>
    <row r="11" spans="2:14" s="37" customFormat="1" ht="15" customHeight="1">
      <c r="B11" s="22" t="s">
        <v>15</v>
      </c>
      <c r="C11" s="36"/>
      <c r="D11" s="36"/>
      <c r="E11" s="116"/>
      <c r="F11" s="116"/>
      <c r="G11" s="22"/>
      <c r="H11" s="36"/>
      <c r="I11" s="58"/>
      <c r="J11" s="59"/>
      <c r="K11" s="127"/>
      <c r="L11" s="36"/>
      <c r="N11" s="3"/>
    </row>
    <row r="12" spans="2:14" s="37" customFormat="1" ht="15" customHeight="1">
      <c r="B12" s="22"/>
      <c r="C12" s="38"/>
      <c r="D12" s="38"/>
      <c r="E12" s="117"/>
      <c r="F12" s="117"/>
      <c r="G12" s="18"/>
      <c r="H12" s="38"/>
      <c r="I12" s="60"/>
      <c r="J12" s="61"/>
      <c r="K12" s="128"/>
      <c r="L12" s="38"/>
      <c r="N12" s="3"/>
    </row>
    <row r="13" spans="2:14" s="37" customFormat="1" ht="15" customHeight="1">
      <c r="B13" s="23" t="s">
        <v>16</v>
      </c>
      <c r="C13" s="39"/>
      <c r="D13" s="39"/>
      <c r="E13" s="118"/>
      <c r="F13" s="118"/>
      <c r="G13" s="23"/>
      <c r="H13" s="39"/>
      <c r="I13" s="62"/>
      <c r="J13" s="63"/>
      <c r="K13" s="129"/>
      <c r="L13" s="39"/>
      <c r="N13" s="3"/>
    </row>
    <row r="14" spans="2:14" s="37" customFormat="1" ht="15" customHeight="1">
      <c r="B14" s="23"/>
      <c r="C14" s="38"/>
      <c r="D14" s="38"/>
      <c r="E14" s="117"/>
      <c r="F14" s="117"/>
      <c r="G14" s="18"/>
      <c r="H14" s="38"/>
      <c r="I14" s="60"/>
      <c r="J14" s="61"/>
      <c r="K14" s="128"/>
      <c r="L14" s="38"/>
      <c r="N14" s="3"/>
    </row>
    <row r="15" spans="2:14" s="37" customFormat="1" ht="15" customHeight="1">
      <c r="B15" s="24" t="s">
        <v>9</v>
      </c>
      <c r="C15" s="40"/>
      <c r="D15" s="40"/>
      <c r="E15" s="119"/>
      <c r="F15" s="119"/>
      <c r="G15" s="24"/>
      <c r="H15" s="40"/>
      <c r="I15" s="64"/>
      <c r="J15" s="65"/>
      <c r="K15" s="130"/>
      <c r="L15" s="40"/>
      <c r="N15" s="3"/>
    </row>
    <row r="16" spans="2:14" s="37" customFormat="1" ht="15" customHeight="1">
      <c r="B16" s="24"/>
      <c r="C16" s="38"/>
      <c r="D16" s="38"/>
      <c r="E16" s="117"/>
      <c r="F16" s="117"/>
      <c r="G16" s="18"/>
      <c r="H16" s="38"/>
      <c r="I16" s="60"/>
      <c r="J16" s="61"/>
      <c r="K16" s="128"/>
      <c r="L16" s="38"/>
      <c r="N16" s="3"/>
    </row>
    <row r="17" spans="2:14" s="37" customFormat="1">
      <c r="B17" s="25" t="s">
        <v>30</v>
      </c>
      <c r="C17" s="41"/>
      <c r="D17" s="41"/>
      <c r="E17" s="120"/>
      <c r="F17" s="120"/>
      <c r="G17" s="25"/>
      <c r="H17" s="41"/>
      <c r="I17" s="66"/>
      <c r="J17" s="67"/>
      <c r="K17" s="131"/>
      <c r="L17" s="41"/>
      <c r="N17" s="3"/>
    </row>
    <row r="18" spans="2:14" s="37" customFormat="1">
      <c r="B18" s="25"/>
      <c r="C18" s="38"/>
      <c r="D18" s="38"/>
      <c r="E18" s="117"/>
      <c r="F18" s="117"/>
      <c r="G18" s="18"/>
      <c r="H18" s="38"/>
      <c r="I18" s="60"/>
      <c r="J18" s="61"/>
      <c r="K18" s="128"/>
      <c r="L18" s="38"/>
      <c r="N18" s="3"/>
    </row>
    <row r="19" spans="2:14" s="37" customFormat="1">
      <c r="B19" s="26" t="s">
        <v>40</v>
      </c>
      <c r="C19" s="42"/>
      <c r="D19" s="42"/>
      <c r="E19" s="121"/>
      <c r="F19" s="121"/>
      <c r="G19" s="26"/>
      <c r="H19" s="42"/>
      <c r="I19" s="68"/>
      <c r="J19" s="69"/>
      <c r="K19" s="132"/>
      <c r="L19" s="42"/>
      <c r="N19" s="3"/>
    </row>
    <row r="20" spans="2:14">
      <c r="B20" s="26"/>
      <c r="E20" s="112"/>
      <c r="F20" s="112"/>
      <c r="I20" s="50"/>
      <c r="J20" s="51"/>
      <c r="K20" s="123"/>
      <c r="L20" s="31"/>
    </row>
    <row r="21" spans="2:14">
      <c r="B21" s="1"/>
      <c r="C21" s="1"/>
      <c r="D21" s="1"/>
      <c r="G21" s="1"/>
      <c r="H21" s="1"/>
      <c r="I21" s="1"/>
      <c r="L21" s="31"/>
    </row>
    <row r="22" spans="2:14">
      <c r="B22" s="1"/>
      <c r="C22" s="1"/>
      <c r="D22" s="1"/>
      <c r="G22" s="1"/>
      <c r="H22" s="1"/>
      <c r="I22" s="1"/>
      <c r="J22" s="84"/>
    </row>
    <row r="23" spans="2:14">
      <c r="B23" s="1"/>
      <c r="C23" s="1"/>
      <c r="D23" s="1"/>
      <c r="G23" s="1"/>
      <c r="H23" s="1"/>
      <c r="I23" s="1"/>
      <c r="J23" s="85"/>
    </row>
    <row r="24" spans="2:14">
      <c r="B24" s="1"/>
      <c r="C24" s="1"/>
      <c r="D24" s="1"/>
      <c r="G24" s="1"/>
      <c r="H24" s="1"/>
      <c r="I24" s="1"/>
      <c r="J24"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W35"/>
  <sheetViews>
    <sheetView zoomScale="70" zoomScaleNormal="70" workbookViewId="0">
      <selection activeCell="V4" sqref="V4"/>
    </sheetView>
  </sheetViews>
  <sheetFormatPr defaultRowHeight="15"/>
  <cols>
    <col min="1" max="1" width="3" customWidth="1"/>
    <col min="2" max="3" width="3.140625" customWidth="1"/>
    <col min="4" max="5" width="3.140625" style="83" customWidth="1"/>
    <col min="6" max="6" width="22.5703125" bestFit="1" customWidth="1"/>
    <col min="7" max="7" width="5" bestFit="1" customWidth="1"/>
    <col min="8" max="8" width="33.140625" bestFit="1" customWidth="1"/>
    <col min="9" max="9" width="5" bestFit="1" customWidth="1"/>
    <col min="10" max="10" width="25.85546875" bestFit="1" customWidth="1"/>
    <col min="11" max="11" width="5" bestFit="1" customWidth="1"/>
    <col min="12" max="12" width="26.42578125" bestFit="1" customWidth="1"/>
    <col min="13" max="13" width="5" bestFit="1" customWidth="1"/>
    <col min="14" max="14" width="19.85546875" bestFit="1" customWidth="1"/>
    <col min="15" max="15" width="5" bestFit="1" customWidth="1"/>
    <col min="16" max="16" width="31.140625" bestFit="1" customWidth="1"/>
    <col min="17" max="17" width="5" bestFit="1" customWidth="1"/>
    <col min="18" max="18" width="27.7109375" bestFit="1" customWidth="1"/>
    <col min="19" max="19" width="5" bestFit="1" customWidth="1"/>
    <col min="20" max="20" width="16.7109375" bestFit="1" customWidth="1"/>
    <col min="21" max="21" width="5" bestFit="1" customWidth="1"/>
    <col min="22" max="22" width="10.140625" bestFit="1" customWidth="1"/>
    <col min="23" max="23" width="5" bestFit="1" customWidth="1"/>
  </cols>
  <sheetData>
    <row r="1" spans="2:23" s="3" customFormat="1">
      <c r="D1" s="1" t="s">
        <v>131</v>
      </c>
      <c r="E1" s="1" t="s">
        <v>132</v>
      </c>
      <c r="F1" s="285" t="s">
        <v>32</v>
      </c>
      <c r="G1" s="286"/>
      <c r="H1" s="286"/>
      <c r="I1" s="286"/>
      <c r="J1" s="286"/>
      <c r="K1" s="286"/>
      <c r="L1" s="286"/>
      <c r="M1" s="286"/>
      <c r="N1" s="286"/>
      <c r="O1" s="286"/>
      <c r="P1" s="286"/>
      <c r="Q1" s="286"/>
      <c r="R1" s="286"/>
      <c r="S1" s="286"/>
      <c r="T1" s="286"/>
      <c r="U1" s="286"/>
      <c r="V1" s="286"/>
      <c r="W1" s="287"/>
    </row>
    <row r="2" spans="2:23" s="5" customFormat="1" ht="29.25" customHeight="1">
      <c r="B2" s="4" t="s">
        <v>33</v>
      </c>
      <c r="C2" s="5" t="s">
        <v>31</v>
      </c>
      <c r="F2" s="6" t="s">
        <v>11</v>
      </c>
      <c r="G2" s="6"/>
      <c r="H2" s="6" t="s">
        <v>12</v>
      </c>
      <c r="I2" s="7"/>
      <c r="J2" s="6" t="s">
        <v>13</v>
      </c>
      <c r="K2" s="6"/>
      <c r="L2" s="6" t="s">
        <v>14</v>
      </c>
      <c r="M2" s="6"/>
      <c r="N2" s="6" t="s">
        <v>15</v>
      </c>
      <c r="O2" s="6"/>
      <c r="P2" s="6" t="s">
        <v>16</v>
      </c>
      <c r="Q2" s="6"/>
      <c r="R2" s="6" t="s">
        <v>9</v>
      </c>
      <c r="S2" s="6"/>
      <c r="T2" s="6" t="s">
        <v>30</v>
      </c>
      <c r="U2" s="8"/>
      <c r="V2" s="8" t="s">
        <v>40</v>
      </c>
      <c r="W2" s="9"/>
    </row>
    <row r="3" spans="2:23" s="3" customFormat="1" ht="14.25">
      <c r="B3" s="1" t="s">
        <v>11</v>
      </c>
      <c r="C3" s="2" t="s">
        <v>17</v>
      </c>
      <c r="D3" s="1">
        <f>MIN(G3:G34)</f>
        <v>101</v>
      </c>
      <c r="E3" s="1">
        <f>MAX(G3:G34)</f>
        <v>110</v>
      </c>
      <c r="F3" s="10" t="s">
        <v>41</v>
      </c>
      <c r="G3" s="7">
        <v>101</v>
      </c>
      <c r="H3" s="10" t="s">
        <v>27</v>
      </c>
      <c r="I3" s="7">
        <v>201</v>
      </c>
      <c r="J3" s="10" t="s">
        <v>75</v>
      </c>
      <c r="K3" s="7">
        <v>301</v>
      </c>
      <c r="L3" s="10" t="s">
        <v>86</v>
      </c>
      <c r="M3" s="7">
        <v>401</v>
      </c>
      <c r="N3" s="10" t="s">
        <v>102</v>
      </c>
      <c r="O3" s="7">
        <v>501</v>
      </c>
      <c r="P3" s="10" t="s">
        <v>109</v>
      </c>
      <c r="Q3" s="10">
        <v>601</v>
      </c>
      <c r="R3" s="10" t="s">
        <v>113</v>
      </c>
      <c r="S3" s="10">
        <v>701</v>
      </c>
      <c r="T3" s="10" t="s">
        <v>122</v>
      </c>
      <c r="U3" s="11">
        <v>801</v>
      </c>
      <c r="V3" s="11" t="s">
        <v>1227</v>
      </c>
      <c r="W3" s="12">
        <v>901</v>
      </c>
    </row>
    <row r="4" spans="2:23" s="3" customFormat="1" ht="14.25">
      <c r="B4" s="1" t="s">
        <v>12</v>
      </c>
      <c r="C4" s="2" t="s">
        <v>34</v>
      </c>
      <c r="D4" s="1">
        <f>MIN(I3:I34)</f>
        <v>201</v>
      </c>
      <c r="E4" s="1">
        <f>MAX(I3:I34)</f>
        <v>232</v>
      </c>
      <c r="F4" s="10" t="s">
        <v>19</v>
      </c>
      <c r="G4" s="7">
        <v>102</v>
      </c>
      <c r="H4" s="10" t="s">
        <v>48</v>
      </c>
      <c r="I4" s="7">
        <v>202</v>
      </c>
      <c r="J4" s="10" t="s">
        <v>76</v>
      </c>
      <c r="K4" s="7">
        <v>302</v>
      </c>
      <c r="L4" s="10" t="s">
        <v>87</v>
      </c>
      <c r="M4" s="7">
        <v>402</v>
      </c>
      <c r="N4" s="10" t="s">
        <v>103</v>
      </c>
      <c r="O4" s="7">
        <v>502</v>
      </c>
      <c r="P4" s="10" t="s">
        <v>110</v>
      </c>
      <c r="Q4" s="10">
        <v>602</v>
      </c>
      <c r="R4" s="10" t="s">
        <v>114</v>
      </c>
      <c r="S4" s="10">
        <v>702</v>
      </c>
      <c r="T4" s="10" t="s">
        <v>123</v>
      </c>
      <c r="U4" s="11">
        <v>802</v>
      </c>
      <c r="V4" s="11"/>
      <c r="W4" s="12"/>
    </row>
    <row r="5" spans="2:23" s="3" customFormat="1" ht="14.25">
      <c r="B5" s="1" t="s">
        <v>13</v>
      </c>
      <c r="C5" s="2" t="s">
        <v>133</v>
      </c>
      <c r="D5" s="1">
        <f>MIN(K3:K34)</f>
        <v>301</v>
      </c>
      <c r="E5" s="1">
        <f>MAX(K3:K34)</f>
        <v>315</v>
      </c>
      <c r="F5" s="10" t="s">
        <v>42</v>
      </c>
      <c r="G5" s="7">
        <v>103</v>
      </c>
      <c r="H5" s="10" t="s">
        <v>49</v>
      </c>
      <c r="I5" s="7">
        <v>203</v>
      </c>
      <c r="J5" s="10" t="s">
        <v>77</v>
      </c>
      <c r="K5" s="7">
        <v>303</v>
      </c>
      <c r="L5" s="10" t="s">
        <v>88</v>
      </c>
      <c r="M5" s="7">
        <v>403</v>
      </c>
      <c r="N5" s="10" t="s">
        <v>104</v>
      </c>
      <c r="O5" s="7">
        <v>503</v>
      </c>
      <c r="P5" s="10" t="s">
        <v>111</v>
      </c>
      <c r="Q5" s="10">
        <v>603</v>
      </c>
      <c r="R5" s="10" t="s">
        <v>115</v>
      </c>
      <c r="S5" s="10">
        <v>703</v>
      </c>
      <c r="T5" s="10" t="s">
        <v>124</v>
      </c>
      <c r="U5" s="11">
        <v>803</v>
      </c>
      <c r="V5" s="11"/>
      <c r="W5" s="12"/>
    </row>
    <row r="6" spans="2:23" s="3" customFormat="1" ht="14.25">
      <c r="B6" s="1" t="s">
        <v>14</v>
      </c>
      <c r="C6" s="2" t="s">
        <v>18</v>
      </c>
      <c r="D6" s="1">
        <f>MIN(M3:M34)</f>
        <v>401</v>
      </c>
      <c r="E6" s="1">
        <f>MAX(M3:M34)</f>
        <v>417</v>
      </c>
      <c r="F6" s="10" t="s">
        <v>43</v>
      </c>
      <c r="G6" s="7">
        <v>104</v>
      </c>
      <c r="H6" s="10" t="s">
        <v>28</v>
      </c>
      <c r="I6" s="7">
        <v>204</v>
      </c>
      <c r="J6" s="10" t="s">
        <v>78</v>
      </c>
      <c r="K6" s="7">
        <v>304</v>
      </c>
      <c r="L6" s="10" t="s">
        <v>89</v>
      </c>
      <c r="M6" s="7">
        <v>404</v>
      </c>
      <c r="N6" s="10" t="s">
        <v>105</v>
      </c>
      <c r="O6" s="7">
        <v>504</v>
      </c>
      <c r="P6" s="10" t="s">
        <v>112</v>
      </c>
      <c r="Q6" s="10">
        <v>604</v>
      </c>
      <c r="R6" s="10" t="s">
        <v>116</v>
      </c>
      <c r="S6" s="10">
        <v>704</v>
      </c>
      <c r="T6" s="10" t="s">
        <v>125</v>
      </c>
      <c r="U6" s="11">
        <v>804</v>
      </c>
      <c r="V6" s="11"/>
      <c r="W6" s="12"/>
    </row>
    <row r="7" spans="2:23" s="3" customFormat="1" ht="14.25">
      <c r="B7" s="1" t="s">
        <v>15</v>
      </c>
      <c r="C7" s="2" t="s">
        <v>35</v>
      </c>
      <c r="D7" s="1">
        <f>MIN(O3:O34)</f>
        <v>501</v>
      </c>
      <c r="E7" s="1">
        <f>MAX(O3:O34)</f>
        <v>509</v>
      </c>
      <c r="F7" s="10" t="s">
        <v>44</v>
      </c>
      <c r="G7" s="7">
        <v>105</v>
      </c>
      <c r="H7" s="10" t="s">
        <v>50</v>
      </c>
      <c r="I7" s="7">
        <v>205</v>
      </c>
      <c r="J7" s="10" t="s">
        <v>79</v>
      </c>
      <c r="K7" s="7">
        <v>305</v>
      </c>
      <c r="L7" s="10" t="s">
        <v>90</v>
      </c>
      <c r="M7" s="7">
        <v>405</v>
      </c>
      <c r="N7" s="10" t="s">
        <v>106</v>
      </c>
      <c r="O7" s="7">
        <v>505</v>
      </c>
      <c r="P7" s="10" t="s">
        <v>26</v>
      </c>
      <c r="Q7" s="10">
        <v>605</v>
      </c>
      <c r="R7" s="10" t="s">
        <v>117</v>
      </c>
      <c r="S7" s="10">
        <v>705</v>
      </c>
      <c r="T7" s="10" t="s">
        <v>126</v>
      </c>
      <c r="U7" s="11">
        <v>805</v>
      </c>
      <c r="V7" s="11"/>
      <c r="W7" s="12"/>
    </row>
    <row r="8" spans="2:23" s="3" customFormat="1" ht="14.25">
      <c r="B8" s="1" t="s">
        <v>16</v>
      </c>
      <c r="C8" s="2" t="s">
        <v>36</v>
      </c>
      <c r="D8" s="1">
        <f>MIN(Q3:Q34)</f>
        <v>601</v>
      </c>
      <c r="E8" s="1">
        <f>MAX(Q3:Q34)</f>
        <v>606</v>
      </c>
      <c r="F8" s="10" t="s">
        <v>45</v>
      </c>
      <c r="G8" s="7">
        <v>106</v>
      </c>
      <c r="H8" s="10" t="s">
        <v>51</v>
      </c>
      <c r="I8" s="7">
        <v>206</v>
      </c>
      <c r="J8" s="10" t="s">
        <v>80</v>
      </c>
      <c r="K8" s="7">
        <v>306</v>
      </c>
      <c r="L8" s="10" t="s">
        <v>91</v>
      </c>
      <c r="M8" s="7">
        <v>406</v>
      </c>
      <c r="N8" s="10" t="s">
        <v>107</v>
      </c>
      <c r="O8" s="7">
        <v>506</v>
      </c>
      <c r="P8" s="10" t="s">
        <v>1227</v>
      </c>
      <c r="Q8" s="10">
        <v>606</v>
      </c>
      <c r="R8" s="10" t="s">
        <v>118</v>
      </c>
      <c r="S8" s="10">
        <v>706</v>
      </c>
      <c r="T8" s="10" t="s">
        <v>127</v>
      </c>
      <c r="U8" s="11">
        <v>806</v>
      </c>
      <c r="V8" s="11"/>
      <c r="W8" s="12"/>
    </row>
    <row r="9" spans="2:23" s="3" customFormat="1" ht="14.25">
      <c r="B9" s="1" t="s">
        <v>9</v>
      </c>
      <c r="C9" s="2" t="s">
        <v>37</v>
      </c>
      <c r="D9" s="1">
        <f>MIN(S3:S34)</f>
        <v>701</v>
      </c>
      <c r="E9" s="1">
        <f>MAX(S3:S34)</f>
        <v>711</v>
      </c>
      <c r="F9" s="10" t="s">
        <v>46</v>
      </c>
      <c r="G9" s="7">
        <v>107</v>
      </c>
      <c r="H9" s="10" t="s">
        <v>52</v>
      </c>
      <c r="I9" s="7">
        <v>207</v>
      </c>
      <c r="J9" s="10" t="s">
        <v>81</v>
      </c>
      <c r="K9" s="7">
        <v>307</v>
      </c>
      <c r="L9" s="10" t="s">
        <v>92</v>
      </c>
      <c r="M9" s="7">
        <v>407</v>
      </c>
      <c r="N9" s="10" t="s">
        <v>108</v>
      </c>
      <c r="O9" s="7">
        <v>507</v>
      </c>
      <c r="P9" s="10"/>
      <c r="Q9" s="10"/>
      <c r="R9" s="10" t="s">
        <v>119</v>
      </c>
      <c r="S9" s="10">
        <v>707</v>
      </c>
      <c r="T9" s="10" t="s">
        <v>128</v>
      </c>
      <c r="U9" s="11">
        <v>807</v>
      </c>
      <c r="V9" s="11"/>
      <c r="W9" s="12"/>
    </row>
    <row r="10" spans="2:23" s="3" customFormat="1" ht="14.25">
      <c r="B10" s="1" t="s">
        <v>30</v>
      </c>
      <c r="C10" s="2" t="s">
        <v>38</v>
      </c>
      <c r="D10" s="1">
        <f>MIN(U3:U34)</f>
        <v>801</v>
      </c>
      <c r="E10" s="1">
        <f>MAX(U3:U34)</f>
        <v>810</v>
      </c>
      <c r="F10" s="10" t="s">
        <v>25</v>
      </c>
      <c r="G10" s="7">
        <v>108</v>
      </c>
      <c r="H10" s="10" t="s">
        <v>53</v>
      </c>
      <c r="I10" s="7">
        <v>208</v>
      </c>
      <c r="J10" s="10" t="s">
        <v>24</v>
      </c>
      <c r="K10" s="7">
        <v>308</v>
      </c>
      <c r="L10" s="10" t="s">
        <v>93</v>
      </c>
      <c r="M10" s="7">
        <v>408</v>
      </c>
      <c r="N10" s="10" t="s">
        <v>71</v>
      </c>
      <c r="O10" s="7">
        <v>508</v>
      </c>
      <c r="P10" s="10"/>
      <c r="Q10" s="10"/>
      <c r="R10" s="10" t="s">
        <v>121</v>
      </c>
      <c r="S10" s="10">
        <v>708</v>
      </c>
      <c r="T10" s="10" t="s">
        <v>129</v>
      </c>
      <c r="U10" s="11">
        <v>808</v>
      </c>
      <c r="V10" s="11"/>
      <c r="W10" s="12"/>
    </row>
    <row r="11" spans="2:23" s="3" customFormat="1" ht="14.25">
      <c r="B11" s="1" t="s">
        <v>40</v>
      </c>
      <c r="C11" s="2" t="s">
        <v>39</v>
      </c>
      <c r="D11" s="1">
        <f>MIN(W3:W34)</f>
        <v>901</v>
      </c>
      <c r="E11" s="1">
        <f>MAX(W3:W34)</f>
        <v>901</v>
      </c>
      <c r="F11" s="10" t="s">
        <v>47</v>
      </c>
      <c r="G11" s="7">
        <v>109</v>
      </c>
      <c r="H11" s="10" t="s">
        <v>54</v>
      </c>
      <c r="I11" s="7">
        <v>209</v>
      </c>
      <c r="J11" s="10" t="s">
        <v>20</v>
      </c>
      <c r="K11" s="7">
        <v>309</v>
      </c>
      <c r="L11" s="10" t="s">
        <v>94</v>
      </c>
      <c r="M11" s="7">
        <v>409</v>
      </c>
      <c r="N11" s="10" t="s">
        <v>1227</v>
      </c>
      <c r="O11" s="7">
        <v>509</v>
      </c>
      <c r="P11" s="10"/>
      <c r="Q11" s="10"/>
      <c r="R11" s="10" t="s">
        <v>22</v>
      </c>
      <c r="S11" s="10">
        <v>709</v>
      </c>
      <c r="T11" s="10" t="s">
        <v>130</v>
      </c>
      <c r="U11" s="11">
        <v>809</v>
      </c>
      <c r="V11" s="11"/>
      <c r="W11" s="12"/>
    </row>
    <row r="12" spans="2:23" s="3" customFormat="1" ht="14.25">
      <c r="D12" s="1"/>
      <c r="E12" s="1"/>
      <c r="F12" s="10" t="s">
        <v>1227</v>
      </c>
      <c r="G12" s="7">
        <v>110</v>
      </c>
      <c r="H12" s="10" t="s">
        <v>55</v>
      </c>
      <c r="I12" s="7">
        <v>210</v>
      </c>
      <c r="J12" s="10" t="s">
        <v>21</v>
      </c>
      <c r="K12" s="7">
        <v>310</v>
      </c>
      <c r="L12" s="10" t="s">
        <v>95</v>
      </c>
      <c r="M12" s="7">
        <v>410</v>
      </c>
      <c r="N12" s="10"/>
      <c r="O12" s="7"/>
      <c r="P12" s="10"/>
      <c r="Q12" s="10"/>
      <c r="R12" s="10" t="s">
        <v>120</v>
      </c>
      <c r="S12" s="10">
        <v>710</v>
      </c>
      <c r="T12" s="10" t="s">
        <v>1227</v>
      </c>
      <c r="U12" s="11">
        <v>810</v>
      </c>
      <c r="V12" s="11"/>
      <c r="W12" s="12"/>
    </row>
    <row r="13" spans="2:23" s="3" customFormat="1" ht="14.25">
      <c r="D13" s="1"/>
      <c r="E13" s="1"/>
      <c r="F13" s="10"/>
      <c r="G13" s="7"/>
      <c r="H13" s="10" t="s">
        <v>56</v>
      </c>
      <c r="I13" s="7">
        <v>211</v>
      </c>
      <c r="J13" s="10" t="s">
        <v>82</v>
      </c>
      <c r="K13" s="7">
        <v>311</v>
      </c>
      <c r="L13" s="10" t="s">
        <v>96</v>
      </c>
      <c r="M13" s="7">
        <v>411</v>
      </c>
      <c r="N13" s="10"/>
      <c r="O13" s="7"/>
      <c r="P13" s="10"/>
      <c r="Q13" s="10"/>
      <c r="R13" s="10" t="s">
        <v>1227</v>
      </c>
      <c r="S13" s="10">
        <v>711</v>
      </c>
      <c r="T13" s="10"/>
      <c r="U13" s="11"/>
      <c r="V13" s="11"/>
      <c r="W13" s="12"/>
    </row>
    <row r="14" spans="2:23" s="3" customFormat="1" ht="14.25">
      <c r="D14" s="1"/>
      <c r="E14" s="1"/>
      <c r="F14" s="10"/>
      <c r="G14" s="7"/>
      <c r="H14" s="10" t="s">
        <v>57</v>
      </c>
      <c r="I14" s="7">
        <v>212</v>
      </c>
      <c r="J14" s="10" t="s">
        <v>83</v>
      </c>
      <c r="K14" s="7">
        <v>312</v>
      </c>
      <c r="L14" s="10" t="s">
        <v>97</v>
      </c>
      <c r="M14" s="7">
        <v>412</v>
      </c>
      <c r="N14" s="10"/>
      <c r="O14" s="7"/>
      <c r="P14" s="10"/>
      <c r="Q14" s="10"/>
      <c r="R14" s="10"/>
      <c r="S14" s="10"/>
      <c r="T14" s="10"/>
      <c r="U14" s="11"/>
      <c r="V14" s="11"/>
      <c r="W14" s="12"/>
    </row>
    <row r="15" spans="2:23" s="3" customFormat="1" ht="14.25">
      <c r="D15" s="1"/>
      <c r="E15" s="1"/>
      <c r="F15" s="10"/>
      <c r="G15" s="7"/>
      <c r="H15" s="10" t="s">
        <v>29</v>
      </c>
      <c r="I15" s="7">
        <v>213</v>
      </c>
      <c r="J15" s="10" t="s">
        <v>84</v>
      </c>
      <c r="K15" s="7">
        <v>313</v>
      </c>
      <c r="L15" s="10" t="s">
        <v>98</v>
      </c>
      <c r="M15" s="7">
        <v>413</v>
      </c>
      <c r="N15" s="10"/>
      <c r="O15" s="7"/>
      <c r="P15" s="10"/>
      <c r="Q15" s="10"/>
      <c r="R15" s="10"/>
      <c r="S15" s="10"/>
      <c r="T15" s="10"/>
      <c r="U15" s="11"/>
      <c r="V15" s="11"/>
      <c r="W15" s="12"/>
    </row>
    <row r="16" spans="2:23" s="3" customFormat="1" ht="14.25">
      <c r="D16" s="1"/>
      <c r="E16" s="1"/>
      <c r="F16" s="10"/>
      <c r="G16" s="7"/>
      <c r="H16" s="10" t="s">
        <v>58</v>
      </c>
      <c r="I16" s="7">
        <v>214</v>
      </c>
      <c r="J16" s="10" t="s">
        <v>85</v>
      </c>
      <c r="K16" s="7">
        <v>314</v>
      </c>
      <c r="L16" s="10" t="s">
        <v>99</v>
      </c>
      <c r="M16" s="7">
        <v>414</v>
      </c>
      <c r="N16" s="10"/>
      <c r="O16" s="7"/>
      <c r="P16" s="10"/>
      <c r="Q16" s="10"/>
      <c r="R16" s="10"/>
      <c r="S16" s="10"/>
      <c r="T16" s="10"/>
      <c r="U16" s="11"/>
      <c r="V16" s="11"/>
      <c r="W16" s="12"/>
    </row>
    <row r="17" spans="4:23" s="3" customFormat="1" ht="14.25">
      <c r="D17" s="1"/>
      <c r="E17" s="1"/>
      <c r="F17" s="10"/>
      <c r="G17" s="7"/>
      <c r="H17" s="10" t="s">
        <v>59</v>
      </c>
      <c r="I17" s="7">
        <v>215</v>
      </c>
      <c r="J17" s="10" t="s">
        <v>1227</v>
      </c>
      <c r="K17" s="7">
        <v>315</v>
      </c>
      <c r="L17" s="10" t="s">
        <v>100</v>
      </c>
      <c r="M17" s="7">
        <v>415</v>
      </c>
      <c r="N17" s="10"/>
      <c r="O17" s="7"/>
      <c r="P17" s="10"/>
      <c r="Q17" s="10"/>
      <c r="R17" s="10"/>
      <c r="S17" s="10"/>
      <c r="T17" s="10"/>
      <c r="U17" s="11"/>
      <c r="V17" s="11"/>
      <c r="W17" s="12"/>
    </row>
    <row r="18" spans="4:23" s="3" customFormat="1" ht="14.25">
      <c r="D18" s="1"/>
      <c r="E18" s="1"/>
      <c r="F18" s="10"/>
      <c r="G18" s="7"/>
      <c r="H18" s="10" t="s">
        <v>60</v>
      </c>
      <c r="I18" s="7">
        <v>216</v>
      </c>
      <c r="J18" s="10"/>
      <c r="K18" s="7"/>
      <c r="L18" s="10" t="s">
        <v>101</v>
      </c>
      <c r="M18" s="7">
        <v>416</v>
      </c>
      <c r="N18" s="10"/>
      <c r="O18" s="7"/>
      <c r="P18" s="10"/>
      <c r="Q18" s="10"/>
      <c r="R18" s="10"/>
      <c r="S18" s="10"/>
      <c r="T18" s="10"/>
      <c r="U18" s="11"/>
      <c r="V18" s="11"/>
      <c r="W18" s="12"/>
    </row>
    <row r="19" spans="4:23" s="3" customFormat="1" ht="14.25">
      <c r="D19" s="1"/>
      <c r="E19" s="1"/>
      <c r="F19" s="10"/>
      <c r="G19" s="7"/>
      <c r="H19" s="10" t="s">
        <v>61</v>
      </c>
      <c r="I19" s="7">
        <v>217</v>
      </c>
      <c r="J19" s="10"/>
      <c r="K19" s="7"/>
      <c r="L19" s="10" t="s">
        <v>1227</v>
      </c>
      <c r="M19" s="7">
        <v>417</v>
      </c>
      <c r="N19" s="10"/>
      <c r="O19" s="7"/>
      <c r="P19" s="10"/>
      <c r="Q19" s="10"/>
      <c r="R19" s="10"/>
      <c r="S19" s="10"/>
      <c r="T19" s="10"/>
      <c r="U19" s="11"/>
      <c r="V19" s="11"/>
      <c r="W19" s="12"/>
    </row>
    <row r="20" spans="4:23" s="3" customFormat="1" ht="14.25">
      <c r="D20" s="1"/>
      <c r="E20" s="1"/>
      <c r="F20" s="10"/>
      <c r="G20" s="7"/>
      <c r="H20" s="10" t="s">
        <v>62</v>
      </c>
      <c r="I20" s="7">
        <v>218</v>
      </c>
      <c r="J20" s="10"/>
      <c r="K20" s="7"/>
      <c r="L20" s="10"/>
      <c r="M20" s="7"/>
      <c r="N20" s="10"/>
      <c r="O20" s="7"/>
      <c r="P20" s="10"/>
      <c r="Q20" s="10"/>
      <c r="R20" s="10"/>
      <c r="S20" s="10"/>
      <c r="T20" s="10"/>
      <c r="U20" s="11"/>
      <c r="V20" s="11"/>
      <c r="W20" s="12"/>
    </row>
    <row r="21" spans="4:23" s="3" customFormat="1" ht="14.25">
      <c r="D21" s="1"/>
      <c r="E21" s="1"/>
      <c r="F21" s="10"/>
      <c r="G21" s="7"/>
      <c r="H21" s="10" t="s">
        <v>63</v>
      </c>
      <c r="I21" s="7">
        <v>219</v>
      </c>
      <c r="J21" s="10"/>
      <c r="K21" s="7"/>
      <c r="L21" s="10"/>
      <c r="M21" s="7"/>
      <c r="N21" s="10"/>
      <c r="O21" s="7"/>
      <c r="P21" s="10"/>
      <c r="Q21" s="10"/>
      <c r="R21" s="10"/>
      <c r="S21" s="10"/>
      <c r="T21" s="10"/>
      <c r="U21" s="11"/>
      <c r="V21" s="11"/>
      <c r="W21" s="12"/>
    </row>
    <row r="22" spans="4:23" s="3" customFormat="1" ht="14.25">
      <c r="D22" s="1"/>
      <c r="E22" s="1"/>
      <c r="F22" s="10"/>
      <c r="G22" s="7"/>
      <c r="H22" s="10" t="s">
        <v>64</v>
      </c>
      <c r="I22" s="7">
        <v>220</v>
      </c>
      <c r="J22" s="10"/>
      <c r="K22" s="7"/>
      <c r="L22" s="10"/>
      <c r="M22" s="7"/>
      <c r="N22" s="10"/>
      <c r="O22" s="7"/>
      <c r="P22" s="10"/>
      <c r="Q22" s="10"/>
      <c r="R22" s="10"/>
      <c r="S22" s="10"/>
      <c r="T22" s="10"/>
      <c r="U22" s="11"/>
      <c r="V22" s="11"/>
      <c r="W22" s="12"/>
    </row>
    <row r="23" spans="4:23" s="3" customFormat="1" ht="14.25">
      <c r="D23" s="1"/>
      <c r="E23" s="1"/>
      <c r="F23" s="10"/>
      <c r="G23" s="7"/>
      <c r="H23" s="10" t="s">
        <v>65</v>
      </c>
      <c r="I23" s="7">
        <v>221</v>
      </c>
      <c r="J23" s="10"/>
      <c r="K23" s="7"/>
      <c r="L23" s="10"/>
      <c r="M23" s="7"/>
      <c r="N23" s="10"/>
      <c r="O23" s="7"/>
      <c r="P23" s="10"/>
      <c r="Q23" s="10"/>
      <c r="R23" s="10"/>
      <c r="S23" s="10"/>
      <c r="T23" s="10"/>
      <c r="U23" s="11"/>
      <c r="V23" s="11"/>
      <c r="W23" s="12"/>
    </row>
    <row r="24" spans="4:23" s="3" customFormat="1" ht="14.25">
      <c r="D24" s="1"/>
      <c r="E24" s="1"/>
      <c r="F24" s="10"/>
      <c r="G24" s="7"/>
      <c r="H24" s="10" t="s">
        <v>66</v>
      </c>
      <c r="I24" s="7">
        <v>222</v>
      </c>
      <c r="J24" s="10"/>
      <c r="K24" s="7"/>
      <c r="L24" s="10"/>
      <c r="M24" s="7"/>
      <c r="N24" s="10"/>
      <c r="O24" s="7"/>
      <c r="P24" s="10"/>
      <c r="Q24" s="10"/>
      <c r="R24" s="10"/>
      <c r="S24" s="10"/>
      <c r="T24" s="10"/>
      <c r="U24" s="11"/>
      <c r="V24" s="11"/>
      <c r="W24" s="12"/>
    </row>
    <row r="25" spans="4:23" s="3" customFormat="1" ht="14.25">
      <c r="D25" s="1"/>
      <c r="E25" s="1"/>
      <c r="F25" s="10"/>
      <c r="G25" s="7"/>
      <c r="H25" s="10" t="s">
        <v>67</v>
      </c>
      <c r="I25" s="7">
        <v>223</v>
      </c>
      <c r="J25" s="10"/>
      <c r="K25" s="7"/>
      <c r="L25" s="10"/>
      <c r="M25" s="7"/>
      <c r="N25" s="10"/>
      <c r="O25" s="7"/>
      <c r="P25" s="10"/>
      <c r="Q25" s="10"/>
      <c r="R25" s="10"/>
      <c r="S25" s="10"/>
      <c r="T25" s="10"/>
      <c r="U25" s="11"/>
      <c r="V25" s="11"/>
      <c r="W25" s="12"/>
    </row>
    <row r="26" spans="4:23" s="3" customFormat="1" ht="14.25">
      <c r="D26" s="1"/>
      <c r="E26" s="1"/>
      <c r="F26" s="10"/>
      <c r="G26" s="7"/>
      <c r="H26" s="10" t="s">
        <v>68</v>
      </c>
      <c r="I26" s="7">
        <v>224</v>
      </c>
      <c r="J26" s="10"/>
      <c r="K26" s="7"/>
      <c r="L26" s="10"/>
      <c r="M26" s="7"/>
      <c r="N26" s="10"/>
      <c r="O26" s="7"/>
      <c r="P26" s="10"/>
      <c r="Q26" s="10"/>
      <c r="R26" s="10"/>
      <c r="S26" s="10"/>
      <c r="T26" s="10"/>
      <c r="U26" s="11"/>
      <c r="V26" s="11"/>
      <c r="W26" s="12"/>
    </row>
    <row r="27" spans="4:23" s="3" customFormat="1" ht="14.25">
      <c r="D27" s="1"/>
      <c r="E27" s="1"/>
      <c r="F27" s="10"/>
      <c r="G27" s="7"/>
      <c r="H27" s="10" t="s">
        <v>23</v>
      </c>
      <c r="I27" s="7">
        <v>225</v>
      </c>
      <c r="J27" s="10"/>
      <c r="K27" s="7"/>
      <c r="L27" s="10"/>
      <c r="M27" s="7"/>
      <c r="N27" s="10"/>
      <c r="O27" s="7"/>
      <c r="P27" s="10"/>
      <c r="Q27" s="10"/>
      <c r="R27" s="10"/>
      <c r="S27" s="10"/>
      <c r="T27" s="10"/>
      <c r="U27" s="11"/>
      <c r="V27" s="11"/>
      <c r="W27" s="12"/>
    </row>
    <row r="28" spans="4:23" s="3" customFormat="1" ht="14.25">
      <c r="D28" s="1"/>
      <c r="E28" s="1"/>
      <c r="F28" s="10"/>
      <c r="G28" s="7"/>
      <c r="H28" s="10" t="s">
        <v>69</v>
      </c>
      <c r="I28" s="7">
        <v>226</v>
      </c>
      <c r="J28" s="10"/>
      <c r="K28" s="7"/>
      <c r="L28" s="10"/>
      <c r="M28" s="7"/>
      <c r="N28" s="10"/>
      <c r="O28" s="7"/>
      <c r="P28" s="10"/>
      <c r="Q28" s="10"/>
      <c r="R28" s="10"/>
      <c r="S28" s="10"/>
      <c r="T28" s="10"/>
      <c r="U28" s="11"/>
      <c r="V28" s="11"/>
      <c r="W28" s="12"/>
    </row>
    <row r="29" spans="4:23" s="3" customFormat="1" ht="14.25">
      <c r="D29" s="1"/>
      <c r="E29" s="1"/>
      <c r="F29" s="10"/>
      <c r="G29" s="7"/>
      <c r="H29" s="10" t="s">
        <v>70</v>
      </c>
      <c r="I29" s="7">
        <v>227</v>
      </c>
      <c r="J29" s="10"/>
      <c r="K29" s="7"/>
      <c r="L29" s="10"/>
      <c r="M29" s="7"/>
      <c r="N29" s="10"/>
      <c r="O29" s="7"/>
      <c r="P29" s="10"/>
      <c r="Q29" s="10"/>
      <c r="R29" s="10"/>
      <c r="S29" s="10"/>
      <c r="T29" s="10"/>
      <c r="U29" s="11"/>
      <c r="V29" s="11"/>
      <c r="W29" s="12"/>
    </row>
    <row r="30" spans="4:23" s="3" customFormat="1" ht="14.25">
      <c r="D30" s="1"/>
      <c r="E30" s="1"/>
      <c r="F30" s="10"/>
      <c r="G30" s="7"/>
      <c r="H30" s="10" t="s">
        <v>71</v>
      </c>
      <c r="I30" s="7">
        <v>228</v>
      </c>
      <c r="J30" s="10"/>
      <c r="K30" s="7"/>
      <c r="L30" s="10"/>
      <c r="M30" s="7"/>
      <c r="N30" s="10"/>
      <c r="O30" s="7"/>
      <c r="P30" s="10"/>
      <c r="Q30" s="10"/>
      <c r="R30" s="10"/>
      <c r="S30" s="10"/>
      <c r="T30" s="10"/>
      <c r="U30" s="11"/>
      <c r="V30" s="11"/>
      <c r="W30" s="12"/>
    </row>
    <row r="31" spans="4:23" s="3" customFormat="1" ht="14.25">
      <c r="D31" s="1"/>
      <c r="E31" s="1"/>
      <c r="F31" s="10"/>
      <c r="G31" s="7"/>
      <c r="H31" s="10" t="s">
        <v>72</v>
      </c>
      <c r="I31" s="7">
        <v>229</v>
      </c>
      <c r="J31" s="10"/>
      <c r="K31" s="7"/>
      <c r="L31" s="10"/>
      <c r="M31" s="7"/>
      <c r="N31" s="10"/>
      <c r="O31" s="7"/>
      <c r="P31" s="10"/>
      <c r="Q31" s="10"/>
      <c r="R31" s="10"/>
      <c r="S31" s="10"/>
      <c r="T31" s="10"/>
      <c r="U31" s="11"/>
      <c r="V31" s="11"/>
      <c r="W31" s="12"/>
    </row>
    <row r="32" spans="4:23" s="3" customFormat="1" ht="14.25">
      <c r="D32" s="1"/>
      <c r="E32" s="1"/>
      <c r="F32" s="10"/>
      <c r="G32" s="7"/>
      <c r="H32" s="10" t="s">
        <v>73</v>
      </c>
      <c r="I32" s="7">
        <v>230</v>
      </c>
      <c r="J32" s="10"/>
      <c r="K32" s="7"/>
      <c r="L32" s="10"/>
      <c r="M32" s="7"/>
      <c r="N32" s="10"/>
      <c r="O32" s="7"/>
      <c r="P32" s="10"/>
      <c r="Q32" s="10"/>
      <c r="R32" s="10"/>
      <c r="S32" s="10"/>
      <c r="T32" s="10"/>
      <c r="U32" s="11"/>
      <c r="V32" s="11"/>
      <c r="W32" s="12"/>
    </row>
    <row r="33" spans="4:23" s="3" customFormat="1" ht="14.25">
      <c r="D33" s="1"/>
      <c r="E33" s="1"/>
      <c r="F33" s="10"/>
      <c r="G33" s="7"/>
      <c r="H33" s="10" t="s">
        <v>74</v>
      </c>
      <c r="I33" s="7">
        <v>231</v>
      </c>
      <c r="J33" s="10"/>
      <c r="K33" s="7"/>
      <c r="L33" s="10"/>
      <c r="M33" s="7"/>
      <c r="N33" s="10"/>
      <c r="O33" s="7"/>
      <c r="P33" s="10"/>
      <c r="Q33" s="10"/>
      <c r="R33" s="10"/>
      <c r="S33" s="10"/>
      <c r="T33" s="10"/>
      <c r="U33" s="11"/>
      <c r="V33" s="11"/>
      <c r="W33" s="12"/>
    </row>
    <row r="34" spans="4:23" s="3" customFormat="1" thickBot="1">
      <c r="D34" s="1"/>
      <c r="E34" s="1"/>
      <c r="F34" s="13"/>
      <c r="G34" s="14"/>
      <c r="H34" s="13" t="s">
        <v>1227</v>
      </c>
      <c r="I34" s="14">
        <v>232</v>
      </c>
      <c r="J34" s="13"/>
      <c r="K34" s="14"/>
      <c r="L34" s="13"/>
      <c r="M34" s="14"/>
      <c r="N34" s="13"/>
      <c r="O34" s="14"/>
      <c r="P34" s="13"/>
      <c r="Q34" s="13"/>
      <c r="R34" s="13"/>
      <c r="S34" s="13"/>
      <c r="T34" s="13"/>
      <c r="U34" s="15"/>
      <c r="V34" s="15"/>
      <c r="W34" s="16"/>
    </row>
    <row r="35" spans="4:23" s="3" customFormat="1" ht="14.25">
      <c r="D35" s="1"/>
      <c r="E35" s="1"/>
      <c r="G35" s="1"/>
      <c r="I35" s="1"/>
      <c r="K35" s="1"/>
      <c r="M35" s="1"/>
      <c r="O35" s="1"/>
    </row>
  </sheetData>
  <mergeCells count="1">
    <mergeCell ref="F1:W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K906"/>
  <sheetViews>
    <sheetView topLeftCell="A18" zoomScale="70" zoomScaleNormal="70" workbookViewId="0">
      <selection activeCell="E35" sqref="E35"/>
    </sheetView>
  </sheetViews>
  <sheetFormatPr defaultRowHeight="15" customHeight="1"/>
  <cols>
    <col min="1" max="1" width="23.85546875" customWidth="1"/>
    <col min="2" max="5" width="30" style="3" customWidth="1"/>
    <col min="6" max="7" width="30.7109375" style="3" customWidth="1"/>
    <col min="8" max="8" width="37" style="3" customWidth="1"/>
    <col min="9" max="9" width="9.140625" style="3"/>
    <col min="10" max="10" width="29.7109375" style="3" bestFit="1" customWidth="1"/>
    <col min="11" max="11" width="49.28515625" style="3" bestFit="1" customWidth="1"/>
    <col min="12" max="16384" width="9.140625" style="3"/>
  </cols>
  <sheetData>
    <row r="1" spans="2:11" ht="15" customHeight="1">
      <c r="B1" s="94" t="s">
        <v>1014</v>
      </c>
      <c r="C1" s="94" t="s">
        <v>1015</v>
      </c>
      <c r="D1" s="94" t="s">
        <v>1184</v>
      </c>
      <c r="E1" s="94" t="s">
        <v>1185</v>
      </c>
      <c r="H1" s="95" t="s">
        <v>1245</v>
      </c>
      <c r="J1" s="94" t="s">
        <v>1015</v>
      </c>
      <c r="K1" s="94"/>
    </row>
    <row r="2" spans="2:11" ht="15" customHeight="1">
      <c r="B2" s="71" t="s">
        <v>1007</v>
      </c>
      <c r="C2" s="71" t="s">
        <v>1102</v>
      </c>
      <c r="D2" s="3" t="s">
        <v>1228</v>
      </c>
      <c r="E2" s="3" t="s">
        <v>1238</v>
      </c>
      <c r="H2" s="70" t="s">
        <v>137</v>
      </c>
      <c r="J2" s="86" t="s">
        <v>1016</v>
      </c>
      <c r="K2" s="87" t="s">
        <v>1017</v>
      </c>
    </row>
    <row r="3" spans="2:11" ht="15" customHeight="1">
      <c r="B3" s="71" t="s">
        <v>997</v>
      </c>
      <c r="C3" s="71" t="s">
        <v>1103</v>
      </c>
      <c r="D3" s="3" t="s">
        <v>665</v>
      </c>
      <c r="E3" s="3" t="s">
        <v>1203</v>
      </c>
      <c r="H3" s="71" t="s">
        <v>138</v>
      </c>
      <c r="J3" s="86" t="s">
        <v>1016</v>
      </c>
      <c r="K3" s="88" t="s">
        <v>1018</v>
      </c>
    </row>
    <row r="4" spans="2:11" ht="15" customHeight="1">
      <c r="B4" s="71" t="s">
        <v>998</v>
      </c>
      <c r="C4" s="71" t="s">
        <v>1104</v>
      </c>
      <c r="D4" s="3" t="s">
        <v>1229</v>
      </c>
      <c r="E4" s="3" t="s">
        <v>1239</v>
      </c>
      <c r="H4" s="71" t="s">
        <v>139</v>
      </c>
      <c r="J4" s="86" t="s">
        <v>1016</v>
      </c>
      <c r="K4" s="88" t="s">
        <v>1019</v>
      </c>
    </row>
    <row r="5" spans="2:11" ht="15" customHeight="1">
      <c r="B5" s="71" t="s">
        <v>987</v>
      </c>
      <c r="C5" s="71" t="s">
        <v>1199</v>
      </c>
      <c r="D5" s="3" t="s">
        <v>1230</v>
      </c>
      <c r="E5" s="3" t="s">
        <v>1240</v>
      </c>
      <c r="H5" s="71" t="s">
        <v>140</v>
      </c>
      <c r="J5" s="86" t="s">
        <v>1016</v>
      </c>
      <c r="K5" s="88" t="s">
        <v>1020</v>
      </c>
    </row>
    <row r="6" spans="2:11" ht="15" customHeight="1">
      <c r="B6" s="71" t="s">
        <v>988</v>
      </c>
      <c r="C6" s="71" t="s">
        <v>1200</v>
      </c>
      <c r="D6" s="3" t="s">
        <v>1231</v>
      </c>
      <c r="E6" s="3" t="s">
        <v>1241</v>
      </c>
      <c r="H6" s="71" t="s">
        <v>141</v>
      </c>
      <c r="J6" s="86" t="s">
        <v>1016</v>
      </c>
      <c r="K6" s="89" t="s">
        <v>1021</v>
      </c>
    </row>
    <row r="7" spans="2:11" ht="15" customHeight="1">
      <c r="B7" s="71" t="s">
        <v>999</v>
      </c>
      <c r="C7" s="71" t="s">
        <v>1201</v>
      </c>
      <c r="D7" s="3" t="s">
        <v>1232</v>
      </c>
      <c r="E7" s="3" t="s">
        <v>1242</v>
      </c>
      <c r="H7" s="71" t="s">
        <v>142</v>
      </c>
      <c r="J7" s="86" t="s">
        <v>1016</v>
      </c>
      <c r="K7" s="88" t="s">
        <v>1022</v>
      </c>
    </row>
    <row r="8" spans="2:11" ht="15" customHeight="1">
      <c r="B8" s="71" t="s">
        <v>1186</v>
      </c>
      <c r="C8" s="71" t="s">
        <v>1099</v>
      </c>
      <c r="D8" s="3" t="s">
        <v>1236</v>
      </c>
      <c r="E8" s="3" t="s">
        <v>1243</v>
      </c>
      <c r="H8" s="71" t="s">
        <v>143</v>
      </c>
      <c r="J8" s="86" t="s">
        <v>1016</v>
      </c>
      <c r="K8" s="88" t="s">
        <v>1023</v>
      </c>
    </row>
    <row r="9" spans="2:11" ht="15" customHeight="1">
      <c r="B9" s="71" t="s">
        <v>1187</v>
      </c>
      <c r="C9" s="71" t="s">
        <v>1202</v>
      </c>
      <c r="D9" s="3" t="s">
        <v>1233</v>
      </c>
      <c r="E9" s="3" t="s">
        <v>1244</v>
      </c>
      <c r="H9" s="71" t="s">
        <v>144</v>
      </c>
      <c r="J9" s="86" t="s">
        <v>1016</v>
      </c>
      <c r="K9" s="88" t="s">
        <v>1024</v>
      </c>
    </row>
    <row r="10" spans="2:11" ht="15" customHeight="1">
      <c r="B10" s="71" t="s">
        <v>1188</v>
      </c>
      <c r="C10" s="71" t="s">
        <v>1127</v>
      </c>
      <c r="D10" s="3" t="s">
        <v>1234</v>
      </c>
      <c r="E10" s="3" t="s">
        <v>1227</v>
      </c>
      <c r="H10" s="71" t="s">
        <v>145</v>
      </c>
      <c r="J10" s="86" t="s">
        <v>1016</v>
      </c>
      <c r="K10" s="88" t="s">
        <v>1025</v>
      </c>
    </row>
    <row r="11" spans="2:11" ht="15" customHeight="1">
      <c r="B11" s="71" t="s">
        <v>1189</v>
      </c>
      <c r="C11" s="71" t="s">
        <v>1203</v>
      </c>
      <c r="D11" s="3" t="s">
        <v>1237</v>
      </c>
      <c r="H11" s="71" t="s">
        <v>146</v>
      </c>
      <c r="J11" s="90"/>
      <c r="K11" s="91"/>
    </row>
    <row r="12" spans="2:11" ht="15" customHeight="1">
      <c r="B12" s="71" t="s">
        <v>989</v>
      </c>
      <c r="C12" s="71" t="s">
        <v>1026</v>
      </c>
      <c r="D12" s="3" t="s">
        <v>1235</v>
      </c>
      <c r="H12" s="71" t="s">
        <v>147</v>
      </c>
      <c r="J12" s="17" t="s">
        <v>1026</v>
      </c>
      <c r="K12" s="88" t="s">
        <v>1027</v>
      </c>
    </row>
    <row r="13" spans="2:11" ht="15" customHeight="1">
      <c r="B13" s="71" t="s">
        <v>990</v>
      </c>
      <c r="C13" s="71" t="s">
        <v>1204</v>
      </c>
      <c r="D13" s="3" t="s">
        <v>1227</v>
      </c>
      <c r="H13" s="71" t="s">
        <v>149</v>
      </c>
      <c r="J13" s="90"/>
      <c r="K13" s="91"/>
    </row>
    <row r="14" spans="2:11" ht="15" customHeight="1">
      <c r="B14" s="71" t="s">
        <v>1190</v>
      </c>
      <c r="C14" s="71" t="s">
        <v>1205</v>
      </c>
      <c r="H14" s="71" t="s">
        <v>150</v>
      </c>
      <c r="J14" s="38" t="s">
        <v>1028</v>
      </c>
      <c r="K14" s="88" t="s">
        <v>1029</v>
      </c>
    </row>
    <row r="15" spans="2:11" ht="15" customHeight="1">
      <c r="B15" s="71" t="s">
        <v>1003</v>
      </c>
      <c r="C15" s="71" t="s">
        <v>1206</v>
      </c>
      <c r="H15" s="71" t="s">
        <v>151</v>
      </c>
      <c r="J15" s="38" t="s">
        <v>1028</v>
      </c>
      <c r="K15" s="88" t="s">
        <v>1030</v>
      </c>
    </row>
    <row r="16" spans="2:11" ht="15" customHeight="1">
      <c r="B16" s="71" t="s">
        <v>1012</v>
      </c>
      <c r="C16" s="71" t="s">
        <v>1129</v>
      </c>
      <c r="H16" s="71" t="s">
        <v>152</v>
      </c>
      <c r="J16" s="38" t="s">
        <v>1028</v>
      </c>
      <c r="K16" s="88" t="s">
        <v>1031</v>
      </c>
    </row>
    <row r="17" spans="2:11" ht="15" customHeight="1">
      <c r="B17" s="71" t="s">
        <v>1000</v>
      </c>
      <c r="C17" s="71" t="s">
        <v>1207</v>
      </c>
      <c r="H17" s="71" t="s">
        <v>153</v>
      </c>
      <c r="J17" s="38" t="s">
        <v>1028</v>
      </c>
      <c r="K17" s="88" t="s">
        <v>1032</v>
      </c>
    </row>
    <row r="18" spans="2:11" ht="15" customHeight="1">
      <c r="B18" s="71" t="s">
        <v>148</v>
      </c>
      <c r="C18" s="71" t="s">
        <v>1208</v>
      </c>
      <c r="H18" s="71" t="s">
        <v>154</v>
      </c>
      <c r="J18" s="38" t="s">
        <v>1028</v>
      </c>
      <c r="K18" s="88" t="s">
        <v>1033</v>
      </c>
    </row>
    <row r="19" spans="2:11" ht="15" customHeight="1">
      <c r="B19" s="71" t="s">
        <v>1004</v>
      </c>
      <c r="C19" s="71" t="s">
        <v>1147</v>
      </c>
      <c r="H19" s="71" t="s">
        <v>155</v>
      </c>
      <c r="J19" s="38" t="s">
        <v>1028</v>
      </c>
      <c r="K19" s="88" t="s">
        <v>1034</v>
      </c>
    </row>
    <row r="20" spans="2:11" ht="15" customHeight="1">
      <c r="B20" s="71" t="s">
        <v>1013</v>
      </c>
      <c r="C20" s="71" t="s">
        <v>1148</v>
      </c>
      <c r="H20" s="72" t="s">
        <v>156</v>
      </c>
      <c r="J20" s="38" t="s">
        <v>1028</v>
      </c>
      <c r="K20" s="88" t="s">
        <v>1035</v>
      </c>
    </row>
    <row r="21" spans="2:11" ht="15" customHeight="1">
      <c r="B21" s="71" t="s">
        <v>1001</v>
      </c>
      <c r="C21" s="71" t="s">
        <v>1209</v>
      </c>
      <c r="H21" s="72" t="s">
        <v>157</v>
      </c>
      <c r="J21" s="38" t="s">
        <v>1028</v>
      </c>
      <c r="K21" s="88" t="s">
        <v>1036</v>
      </c>
    </row>
    <row r="22" spans="2:11" ht="15" customHeight="1">
      <c r="B22" s="71" t="s">
        <v>1011</v>
      </c>
      <c r="C22" s="71" t="s">
        <v>1210</v>
      </c>
      <c r="H22" s="71" t="s">
        <v>158</v>
      </c>
      <c r="J22" s="90"/>
      <c r="K22" s="91"/>
    </row>
    <row r="23" spans="2:11" ht="15" customHeight="1">
      <c r="B23" s="71" t="s">
        <v>991</v>
      </c>
      <c r="C23" s="71" t="s">
        <v>1149</v>
      </c>
      <c r="H23" s="71" t="s">
        <v>159</v>
      </c>
      <c r="J23" s="37" t="s">
        <v>1037</v>
      </c>
      <c r="K23" s="88" t="s">
        <v>1038</v>
      </c>
    </row>
    <row r="24" spans="2:11" ht="15" customHeight="1">
      <c r="B24" s="71" t="s">
        <v>992</v>
      </c>
      <c r="C24" s="71" t="s">
        <v>1211</v>
      </c>
      <c r="H24" s="71" t="s">
        <v>160</v>
      </c>
      <c r="J24" s="37" t="s">
        <v>1037</v>
      </c>
      <c r="K24" s="88" t="s">
        <v>1039</v>
      </c>
    </row>
    <row r="25" spans="2:11" ht="15" customHeight="1">
      <c r="B25" s="71" t="s">
        <v>992</v>
      </c>
      <c r="C25" s="71" t="s">
        <v>1212</v>
      </c>
      <c r="H25" s="71" t="s">
        <v>161</v>
      </c>
      <c r="J25" s="37" t="s">
        <v>1037</v>
      </c>
      <c r="K25" s="88" t="s">
        <v>1040</v>
      </c>
    </row>
    <row r="26" spans="2:11" ht="15" customHeight="1">
      <c r="B26" s="71" t="s">
        <v>1005</v>
      </c>
      <c r="C26" s="71" t="s">
        <v>1213</v>
      </c>
      <c r="H26" s="71" t="s">
        <v>162</v>
      </c>
      <c r="J26" s="37" t="s">
        <v>1037</v>
      </c>
      <c r="K26" s="88" t="s">
        <v>1041</v>
      </c>
    </row>
    <row r="27" spans="2:11" ht="15" customHeight="1">
      <c r="B27" s="71" t="s">
        <v>993</v>
      </c>
      <c r="C27" s="71" t="s">
        <v>1053</v>
      </c>
      <c r="H27" s="71" t="s">
        <v>163</v>
      </c>
      <c r="J27" s="37" t="s">
        <v>1037</v>
      </c>
      <c r="K27" s="88" t="s">
        <v>1042</v>
      </c>
    </row>
    <row r="28" spans="2:11" ht="15" customHeight="1">
      <c r="B28" s="71" t="s">
        <v>1191</v>
      </c>
      <c r="C28" s="71" t="s">
        <v>1054</v>
      </c>
      <c r="H28" s="71" t="s">
        <v>164</v>
      </c>
      <c r="J28" s="37" t="s">
        <v>1037</v>
      </c>
      <c r="K28" s="88" t="s">
        <v>1043</v>
      </c>
    </row>
    <row r="29" spans="2:11" ht="15" customHeight="1">
      <c r="B29" s="71" t="s">
        <v>1192</v>
      </c>
      <c r="C29" s="71" t="s">
        <v>1050</v>
      </c>
      <c r="H29" s="71" t="s">
        <v>165</v>
      </c>
      <c r="J29" s="37" t="s">
        <v>1037</v>
      </c>
      <c r="K29" s="88" t="s">
        <v>1044</v>
      </c>
    </row>
    <row r="30" spans="2:11" ht="15" customHeight="1">
      <c r="B30" s="71" t="s">
        <v>644</v>
      </c>
      <c r="C30" s="71" t="s">
        <v>1155</v>
      </c>
      <c r="H30" s="73"/>
      <c r="J30" s="37" t="s">
        <v>1037</v>
      </c>
      <c r="K30" s="88" t="s">
        <v>1045</v>
      </c>
    </row>
    <row r="31" spans="2:11" ht="15" customHeight="1">
      <c r="B31" s="71" t="s">
        <v>994</v>
      </c>
      <c r="C31" s="71" t="s">
        <v>1055</v>
      </c>
      <c r="H31" s="71" t="s">
        <v>166</v>
      </c>
      <c r="J31" s="37" t="s">
        <v>1037</v>
      </c>
      <c r="K31" s="88" t="s">
        <v>1046</v>
      </c>
    </row>
    <row r="32" spans="2:11" ht="15" customHeight="1">
      <c r="B32" s="71" t="s">
        <v>994</v>
      </c>
      <c r="C32" s="71" t="s">
        <v>1214</v>
      </c>
      <c r="H32" s="71" t="s">
        <v>167</v>
      </c>
      <c r="J32" s="37" t="s">
        <v>1037</v>
      </c>
      <c r="K32" s="88" t="s">
        <v>1047</v>
      </c>
    </row>
    <row r="33" spans="2:11" ht="15" customHeight="1">
      <c r="B33" s="71" t="s">
        <v>1008</v>
      </c>
      <c r="C33" s="71" t="s">
        <v>1156</v>
      </c>
      <c r="H33" s="71" t="s">
        <v>168</v>
      </c>
      <c r="J33" s="37" t="s">
        <v>1037</v>
      </c>
      <c r="K33" s="88" t="s">
        <v>1048</v>
      </c>
    </row>
    <row r="34" spans="2:11" ht="15" customHeight="1">
      <c r="B34" s="71" t="s">
        <v>1193</v>
      </c>
      <c r="C34" s="71" t="s">
        <v>1133</v>
      </c>
      <c r="H34" s="71" t="s">
        <v>169</v>
      </c>
      <c r="J34" s="90"/>
      <c r="K34" s="91"/>
    </row>
    <row r="35" spans="2:11" ht="15" customHeight="1">
      <c r="B35" s="71" t="s">
        <v>995</v>
      </c>
      <c r="C35" s="71" t="s">
        <v>1157</v>
      </c>
      <c r="H35" s="71" t="s">
        <v>170</v>
      </c>
      <c r="J35" s="3" t="s">
        <v>1049</v>
      </c>
      <c r="K35" s="88" t="s">
        <v>1050</v>
      </c>
    </row>
    <row r="36" spans="2:11" ht="15" customHeight="1">
      <c r="B36" s="71" t="s">
        <v>1195</v>
      </c>
      <c r="C36" s="71" t="s">
        <v>1158</v>
      </c>
      <c r="H36" s="72" t="s">
        <v>171</v>
      </c>
      <c r="J36" s="3" t="s">
        <v>1049</v>
      </c>
      <c r="K36" s="88" t="s">
        <v>1051</v>
      </c>
    </row>
    <row r="37" spans="2:11" ht="15" customHeight="1">
      <c r="B37" s="71" t="s">
        <v>1194</v>
      </c>
      <c r="C37" s="88" t="s">
        <v>1163</v>
      </c>
      <c r="H37" s="71" t="s">
        <v>172</v>
      </c>
      <c r="J37" s="90"/>
      <c r="K37" s="91"/>
    </row>
    <row r="38" spans="2:11" ht="15" customHeight="1">
      <c r="B38" s="71" t="s">
        <v>1009</v>
      </c>
      <c r="C38" s="88" t="s">
        <v>1216</v>
      </c>
      <c r="H38" s="71" t="s">
        <v>173</v>
      </c>
      <c r="J38" s="3" t="s">
        <v>1052</v>
      </c>
      <c r="K38" s="88" t="s">
        <v>1053</v>
      </c>
    </row>
    <row r="39" spans="2:11" ht="15" customHeight="1">
      <c r="B39" s="71" t="s">
        <v>1002</v>
      </c>
      <c r="C39" s="88" t="s">
        <v>1215</v>
      </c>
      <c r="H39" s="71" t="s">
        <v>174</v>
      </c>
      <c r="J39" s="3" t="s">
        <v>1052</v>
      </c>
      <c r="K39" s="88" t="s">
        <v>1054</v>
      </c>
    </row>
    <row r="40" spans="2:11" ht="15" customHeight="1">
      <c r="B40" s="71" t="s">
        <v>1006</v>
      </c>
      <c r="C40" s="71" t="s">
        <v>1217</v>
      </c>
      <c r="H40" s="71" t="s">
        <v>175</v>
      </c>
      <c r="J40" s="3" t="s">
        <v>1052</v>
      </c>
      <c r="K40" s="88" t="s">
        <v>1055</v>
      </c>
    </row>
    <row r="41" spans="2:11" ht="15" customHeight="1">
      <c r="B41" s="71" t="s">
        <v>996</v>
      </c>
      <c r="C41" s="71" t="s">
        <v>1218</v>
      </c>
      <c r="H41" s="71" t="s">
        <v>176</v>
      </c>
      <c r="J41" s="3" t="s">
        <v>1052</v>
      </c>
      <c r="K41" s="88" t="s">
        <v>1056</v>
      </c>
    </row>
    <row r="42" spans="2:11" ht="15" customHeight="1">
      <c r="B42" s="71" t="s">
        <v>1197</v>
      </c>
      <c r="C42" s="71" t="s">
        <v>1138</v>
      </c>
      <c r="H42" s="71" t="s">
        <v>177</v>
      </c>
      <c r="J42" s="3" t="s">
        <v>1052</v>
      </c>
      <c r="K42" s="88" t="s">
        <v>1057</v>
      </c>
    </row>
    <row r="43" spans="2:11" ht="15" customHeight="1">
      <c r="B43" s="71" t="s">
        <v>1196</v>
      </c>
      <c r="C43" s="71" t="s">
        <v>1139</v>
      </c>
      <c r="H43" s="72" t="s">
        <v>178</v>
      </c>
      <c r="J43" s="90"/>
      <c r="K43" s="91"/>
    </row>
    <row r="44" spans="2:11" ht="15" customHeight="1">
      <c r="B44" s="71" t="s">
        <v>1198</v>
      </c>
      <c r="C44" s="71" t="s">
        <v>1100</v>
      </c>
      <c r="H44" s="71" t="s">
        <v>179</v>
      </c>
      <c r="J44" s="3" t="s">
        <v>1058</v>
      </c>
      <c r="K44" s="88" t="s">
        <v>1059</v>
      </c>
    </row>
    <row r="45" spans="2:11" ht="15" customHeight="1">
      <c r="B45" s="71" t="s">
        <v>129</v>
      </c>
      <c r="C45" s="71" t="s">
        <v>1219</v>
      </c>
      <c r="H45" s="71" t="s">
        <v>180</v>
      </c>
      <c r="J45" s="3" t="s">
        <v>1058</v>
      </c>
      <c r="K45" s="88" t="s">
        <v>1060</v>
      </c>
    </row>
    <row r="46" spans="2:11" ht="15" customHeight="1">
      <c r="B46" s="71" t="s">
        <v>1010</v>
      </c>
      <c r="C46" s="71" t="s">
        <v>1056</v>
      </c>
      <c r="H46" s="71" t="s">
        <v>181</v>
      </c>
      <c r="J46" s="3" t="s">
        <v>1058</v>
      </c>
      <c r="K46" s="88" t="s">
        <v>1061</v>
      </c>
    </row>
    <row r="47" spans="2:11" ht="15" customHeight="1">
      <c r="B47" s="71" t="s">
        <v>1227</v>
      </c>
      <c r="C47" s="71" t="s">
        <v>1171</v>
      </c>
      <c r="H47" s="71" t="s">
        <v>182</v>
      </c>
      <c r="J47" s="3" t="s">
        <v>1058</v>
      </c>
      <c r="K47" s="88" t="s">
        <v>1062</v>
      </c>
    </row>
    <row r="48" spans="2:11" ht="15" customHeight="1">
      <c r="C48" s="71" t="s">
        <v>1220</v>
      </c>
      <c r="H48" s="71" t="s">
        <v>183</v>
      </c>
      <c r="J48" s="3" t="s">
        <v>1058</v>
      </c>
      <c r="K48" s="88" t="s">
        <v>1063</v>
      </c>
    </row>
    <row r="49" spans="2:11" ht="15" customHeight="1">
      <c r="B49" s="71"/>
      <c r="C49" s="71" t="s">
        <v>1221</v>
      </c>
      <c r="H49" s="71" t="s">
        <v>184</v>
      </c>
      <c r="J49" s="3" t="s">
        <v>1058</v>
      </c>
      <c r="K49" s="88" t="s">
        <v>1064</v>
      </c>
    </row>
    <row r="50" spans="2:11" ht="15" customHeight="1">
      <c r="B50" s="71"/>
      <c r="C50" s="71" t="s">
        <v>1140</v>
      </c>
      <c r="H50" s="71" t="s">
        <v>185</v>
      </c>
      <c r="J50" s="3" t="s">
        <v>1058</v>
      </c>
      <c r="K50" s="88" t="s">
        <v>1065</v>
      </c>
    </row>
    <row r="51" spans="2:11" ht="15" customHeight="1">
      <c r="B51" s="71"/>
      <c r="C51" s="71" t="s">
        <v>676</v>
      </c>
      <c r="H51" s="71" t="s">
        <v>186</v>
      </c>
      <c r="J51" s="90"/>
      <c r="K51" s="91"/>
    </row>
    <row r="52" spans="2:11" ht="15" customHeight="1">
      <c r="C52" s="71" t="s">
        <v>1222</v>
      </c>
      <c r="H52" s="74" t="s">
        <v>187</v>
      </c>
      <c r="J52" s="3" t="s">
        <v>1066</v>
      </c>
      <c r="K52" s="88" t="s">
        <v>1067</v>
      </c>
    </row>
    <row r="53" spans="2:11" ht="15" customHeight="1">
      <c r="C53" s="71" t="s">
        <v>1223</v>
      </c>
      <c r="H53" s="71" t="s">
        <v>187</v>
      </c>
      <c r="J53" s="3" t="s">
        <v>1066</v>
      </c>
      <c r="K53" s="88" t="s">
        <v>1068</v>
      </c>
    </row>
    <row r="54" spans="2:11" ht="15" customHeight="1">
      <c r="C54" s="71" t="s">
        <v>1224</v>
      </c>
      <c r="H54" s="71" t="s">
        <v>188</v>
      </c>
      <c r="J54" s="3" t="s">
        <v>1066</v>
      </c>
      <c r="K54" s="88" t="s">
        <v>1069</v>
      </c>
    </row>
    <row r="55" spans="2:11" ht="15" customHeight="1">
      <c r="C55" s="71" t="s">
        <v>1025</v>
      </c>
      <c r="H55" s="71" t="s">
        <v>189</v>
      </c>
      <c r="J55" s="90"/>
      <c r="K55" s="91"/>
    </row>
    <row r="56" spans="2:11" ht="15" customHeight="1">
      <c r="C56" s="71" t="s">
        <v>1169</v>
      </c>
      <c r="H56" s="71" t="s">
        <v>190</v>
      </c>
      <c r="J56" s="3" t="s">
        <v>1070</v>
      </c>
      <c r="K56" s="88" t="s">
        <v>1071</v>
      </c>
    </row>
    <row r="57" spans="2:11" ht="15" customHeight="1">
      <c r="C57" s="71" t="s">
        <v>941</v>
      </c>
      <c r="H57" s="71" t="s">
        <v>191</v>
      </c>
      <c r="J57" s="3" t="s">
        <v>1070</v>
      </c>
      <c r="K57" s="88" t="s">
        <v>1072</v>
      </c>
    </row>
    <row r="58" spans="2:11" ht="15" customHeight="1">
      <c r="C58" s="71" t="s">
        <v>1225</v>
      </c>
      <c r="H58" s="71" t="s">
        <v>192</v>
      </c>
      <c r="J58" s="3" t="s">
        <v>1070</v>
      </c>
      <c r="K58" s="88" t="s">
        <v>1073</v>
      </c>
    </row>
    <row r="59" spans="2:11" ht="15" customHeight="1">
      <c r="C59" s="71" t="s">
        <v>1226</v>
      </c>
      <c r="H59" s="71" t="s">
        <v>193</v>
      </c>
      <c r="J59" s="3" t="s">
        <v>1070</v>
      </c>
      <c r="K59" s="88" t="s">
        <v>1074</v>
      </c>
    </row>
    <row r="60" spans="2:11" ht="15" customHeight="1">
      <c r="C60" s="71" t="s">
        <v>1227</v>
      </c>
      <c r="H60" s="71" t="s">
        <v>194</v>
      </c>
      <c r="J60" s="3" t="s">
        <v>1070</v>
      </c>
      <c r="K60" s="88" t="s">
        <v>1075</v>
      </c>
    </row>
    <row r="61" spans="2:11" ht="15" customHeight="1">
      <c r="H61" s="71" t="s">
        <v>195</v>
      </c>
      <c r="J61" s="90"/>
      <c r="K61" s="91"/>
    </row>
    <row r="62" spans="2:11" ht="15" customHeight="1">
      <c r="H62" s="71" t="s">
        <v>196</v>
      </c>
      <c r="J62" s="3" t="s">
        <v>1076</v>
      </c>
      <c r="K62" s="88" t="s">
        <v>1077</v>
      </c>
    </row>
    <row r="63" spans="2:11" ht="15" customHeight="1">
      <c r="H63" s="71" t="s">
        <v>197</v>
      </c>
      <c r="J63" s="3" t="s">
        <v>1076</v>
      </c>
      <c r="K63" s="88" t="s">
        <v>1078</v>
      </c>
    </row>
    <row r="64" spans="2:11" ht="15" customHeight="1">
      <c r="H64" s="71" t="s">
        <v>198</v>
      </c>
      <c r="J64" s="90"/>
      <c r="K64" s="91"/>
    </row>
    <row r="65" spans="8:11" ht="15" customHeight="1">
      <c r="H65" s="71" t="s">
        <v>199</v>
      </c>
      <c r="J65" s="17" t="s">
        <v>25</v>
      </c>
      <c r="K65" s="88" t="s">
        <v>1079</v>
      </c>
    </row>
    <row r="66" spans="8:11" ht="15" customHeight="1">
      <c r="H66" s="71" t="s">
        <v>200</v>
      </c>
      <c r="J66" s="17" t="s">
        <v>25</v>
      </c>
      <c r="K66" s="88" t="s">
        <v>1080</v>
      </c>
    </row>
    <row r="67" spans="8:11" ht="15" customHeight="1">
      <c r="H67" s="71" t="s">
        <v>201</v>
      </c>
      <c r="J67" s="17" t="s">
        <v>25</v>
      </c>
      <c r="K67" s="88" t="s">
        <v>1081</v>
      </c>
    </row>
    <row r="68" spans="8:11" ht="15" customHeight="1">
      <c r="H68" s="71" t="s">
        <v>202</v>
      </c>
      <c r="J68" s="17" t="s">
        <v>25</v>
      </c>
      <c r="K68" s="88" t="s">
        <v>1082</v>
      </c>
    </row>
    <row r="69" spans="8:11" ht="15" customHeight="1">
      <c r="H69" s="71" t="s">
        <v>203</v>
      </c>
      <c r="J69" s="17" t="s">
        <v>25</v>
      </c>
      <c r="K69" s="88" t="s">
        <v>1083</v>
      </c>
    </row>
    <row r="70" spans="8:11" ht="15" customHeight="1">
      <c r="H70" s="71" t="s">
        <v>204</v>
      </c>
      <c r="J70" s="17" t="s">
        <v>25</v>
      </c>
      <c r="K70" s="88" t="s">
        <v>1084</v>
      </c>
    </row>
    <row r="71" spans="8:11" ht="15" customHeight="1">
      <c r="H71" s="71" t="s">
        <v>205</v>
      </c>
      <c r="J71" s="17" t="s">
        <v>25</v>
      </c>
      <c r="K71" s="88" t="s">
        <v>1085</v>
      </c>
    </row>
    <row r="72" spans="8:11" ht="15" customHeight="1">
      <c r="H72" s="71" t="s">
        <v>206</v>
      </c>
      <c r="J72" s="17" t="s">
        <v>25</v>
      </c>
      <c r="K72" s="88" t="s">
        <v>1086</v>
      </c>
    </row>
    <row r="73" spans="8:11" ht="15" customHeight="1">
      <c r="H73" s="71" t="s">
        <v>207</v>
      </c>
      <c r="J73" s="17" t="s">
        <v>25</v>
      </c>
      <c r="K73" s="88" t="s">
        <v>1087</v>
      </c>
    </row>
    <row r="74" spans="8:11" ht="15" customHeight="1">
      <c r="H74" s="71" t="s">
        <v>208</v>
      </c>
      <c r="J74" s="17" t="s">
        <v>25</v>
      </c>
      <c r="K74" s="88" t="s">
        <v>1088</v>
      </c>
    </row>
    <row r="75" spans="8:11" ht="15" customHeight="1">
      <c r="H75" s="71" t="s">
        <v>209</v>
      </c>
      <c r="J75" s="17" t="s">
        <v>25</v>
      </c>
      <c r="K75" s="88" t="s">
        <v>1089</v>
      </c>
    </row>
    <row r="76" spans="8:11" ht="15" customHeight="1">
      <c r="H76" s="72" t="s">
        <v>210</v>
      </c>
      <c r="J76" s="17" t="s">
        <v>25</v>
      </c>
      <c r="K76" s="88" t="s">
        <v>1090</v>
      </c>
    </row>
    <row r="77" spans="8:11" ht="15" customHeight="1">
      <c r="H77" s="71" t="s">
        <v>211</v>
      </c>
      <c r="J77" s="17" t="s">
        <v>25</v>
      </c>
      <c r="K77" s="88" t="s">
        <v>1091</v>
      </c>
    </row>
    <row r="78" spans="8:11" ht="15" customHeight="1">
      <c r="H78" s="71" t="s">
        <v>212</v>
      </c>
      <c r="J78" s="17" t="s">
        <v>25</v>
      </c>
      <c r="K78" s="88" t="s">
        <v>1092</v>
      </c>
    </row>
    <row r="79" spans="8:11" ht="15" customHeight="1">
      <c r="H79" s="71" t="s">
        <v>213</v>
      </c>
      <c r="J79" s="17" t="s">
        <v>25</v>
      </c>
      <c r="K79" s="88" t="s">
        <v>1093</v>
      </c>
    </row>
    <row r="80" spans="8:11" ht="15" customHeight="1">
      <c r="H80" s="71" t="s">
        <v>214</v>
      </c>
      <c r="J80" s="17" t="s">
        <v>25</v>
      </c>
      <c r="K80" s="88" t="s">
        <v>1094</v>
      </c>
    </row>
    <row r="81" spans="8:11" ht="15" customHeight="1">
      <c r="H81" s="71" t="s">
        <v>215</v>
      </c>
      <c r="J81" s="17" t="s">
        <v>25</v>
      </c>
      <c r="K81" s="88" t="s">
        <v>1095</v>
      </c>
    </row>
    <row r="82" spans="8:11" ht="15" customHeight="1">
      <c r="H82" s="71" t="s">
        <v>216</v>
      </c>
      <c r="J82" s="17" t="s">
        <v>25</v>
      </c>
      <c r="K82" s="88" t="s">
        <v>1096</v>
      </c>
    </row>
    <row r="83" spans="8:11" ht="15" customHeight="1">
      <c r="H83" s="71" t="s">
        <v>217</v>
      </c>
      <c r="J83" s="17" t="s">
        <v>25</v>
      </c>
      <c r="K83" s="88" t="s">
        <v>1097</v>
      </c>
    </row>
    <row r="84" spans="8:11" ht="15" customHeight="1">
      <c r="H84" s="71" t="s">
        <v>218</v>
      </c>
      <c r="J84" s="90"/>
      <c r="K84" s="91"/>
    </row>
    <row r="85" spans="8:11" ht="15" customHeight="1">
      <c r="H85" s="71" t="s">
        <v>219</v>
      </c>
      <c r="J85" s="92" t="s">
        <v>1098</v>
      </c>
      <c r="K85" s="88" t="s">
        <v>1099</v>
      </c>
    </row>
    <row r="86" spans="8:11" ht="15" customHeight="1">
      <c r="H86" s="72" t="s">
        <v>220</v>
      </c>
      <c r="J86" s="92" t="s">
        <v>1098</v>
      </c>
      <c r="K86" s="88" t="s">
        <v>1100</v>
      </c>
    </row>
    <row r="87" spans="8:11" ht="15" customHeight="1">
      <c r="H87" s="71" t="s">
        <v>221</v>
      </c>
      <c r="J87" s="92" t="s">
        <v>1098</v>
      </c>
      <c r="K87" s="88" t="s">
        <v>941</v>
      </c>
    </row>
    <row r="88" spans="8:11" ht="15" customHeight="1">
      <c r="H88" s="71" t="s">
        <v>222</v>
      </c>
      <c r="J88" s="90"/>
      <c r="K88" s="91"/>
    </row>
    <row r="89" spans="8:11" ht="15" customHeight="1">
      <c r="H89" s="71" t="s">
        <v>223</v>
      </c>
      <c r="J89" s="92" t="s">
        <v>1101</v>
      </c>
      <c r="K89" s="88" t="s">
        <v>1102</v>
      </c>
    </row>
    <row r="90" spans="8:11" ht="15" customHeight="1">
      <c r="H90" s="71" t="s">
        <v>224</v>
      </c>
      <c r="J90" s="92" t="s">
        <v>1101</v>
      </c>
      <c r="K90" s="88" t="s">
        <v>1103</v>
      </c>
    </row>
    <row r="91" spans="8:11" ht="15" customHeight="1">
      <c r="H91" s="71" t="s">
        <v>225</v>
      </c>
      <c r="J91" s="92" t="s">
        <v>1101</v>
      </c>
      <c r="K91" s="88" t="s">
        <v>1104</v>
      </c>
    </row>
    <row r="92" spans="8:11" ht="15" customHeight="1">
      <c r="H92" s="71" t="s">
        <v>226</v>
      </c>
      <c r="J92" s="92" t="s">
        <v>1101</v>
      </c>
      <c r="K92" s="88" t="s">
        <v>1105</v>
      </c>
    </row>
    <row r="93" spans="8:11" ht="15" customHeight="1">
      <c r="H93" s="71" t="s">
        <v>227</v>
      </c>
      <c r="J93" s="92" t="s">
        <v>1101</v>
      </c>
      <c r="K93" s="88" t="s">
        <v>1106</v>
      </c>
    </row>
    <row r="94" spans="8:11" ht="15" customHeight="1">
      <c r="H94" s="72" t="s">
        <v>228</v>
      </c>
      <c r="J94" s="92" t="s">
        <v>1101</v>
      </c>
      <c r="K94" s="88" t="s">
        <v>1107</v>
      </c>
    </row>
    <row r="95" spans="8:11" ht="15" customHeight="1">
      <c r="H95" s="71" t="s">
        <v>229</v>
      </c>
      <c r="J95" s="92" t="s">
        <v>1101</v>
      </c>
      <c r="K95" s="88" t="s">
        <v>1108</v>
      </c>
    </row>
    <row r="96" spans="8:11" ht="15" customHeight="1">
      <c r="H96" s="71" t="s">
        <v>230</v>
      </c>
      <c r="J96" s="92" t="s">
        <v>1101</v>
      </c>
      <c r="K96" s="88" t="s">
        <v>1109</v>
      </c>
    </row>
    <row r="97" spans="8:11" ht="15" customHeight="1">
      <c r="H97" s="71" t="s">
        <v>231</v>
      </c>
      <c r="J97" s="92" t="s">
        <v>1101</v>
      </c>
      <c r="K97" s="88" t="s">
        <v>1110</v>
      </c>
    </row>
    <row r="98" spans="8:11" ht="15" customHeight="1">
      <c r="H98" s="71" t="s">
        <v>232</v>
      </c>
      <c r="J98" s="92" t="s">
        <v>1101</v>
      </c>
      <c r="K98" s="88" t="s">
        <v>1111</v>
      </c>
    </row>
    <row r="99" spans="8:11" ht="15" customHeight="1">
      <c r="H99" s="71" t="s">
        <v>233</v>
      </c>
      <c r="J99" s="92" t="s">
        <v>1101</v>
      </c>
      <c r="K99" s="88" t="s">
        <v>1112</v>
      </c>
    </row>
    <row r="100" spans="8:11" ht="15" customHeight="1">
      <c r="H100" s="71" t="s">
        <v>234</v>
      </c>
      <c r="J100" s="92" t="s">
        <v>1101</v>
      </c>
      <c r="K100" s="88" t="s">
        <v>1113</v>
      </c>
    </row>
    <row r="101" spans="8:11" ht="15" customHeight="1">
      <c r="H101" s="71" t="s">
        <v>235</v>
      </c>
      <c r="J101" s="92" t="s">
        <v>1101</v>
      </c>
      <c r="K101" s="88" t="s">
        <v>1114</v>
      </c>
    </row>
    <row r="102" spans="8:11" ht="15" customHeight="1">
      <c r="H102" s="71" t="s">
        <v>236</v>
      </c>
      <c r="J102" s="92" t="s">
        <v>1101</v>
      </c>
      <c r="K102" s="88" t="s">
        <v>1115</v>
      </c>
    </row>
    <row r="103" spans="8:11" ht="15" customHeight="1">
      <c r="H103" s="71" t="s">
        <v>237</v>
      </c>
      <c r="J103" s="92" t="s">
        <v>1101</v>
      </c>
      <c r="K103" s="88" t="s">
        <v>1116</v>
      </c>
    </row>
    <row r="104" spans="8:11" ht="15" customHeight="1">
      <c r="H104" s="71" t="s">
        <v>238</v>
      </c>
      <c r="J104" s="92" t="s">
        <v>1101</v>
      </c>
      <c r="K104" s="88" t="s">
        <v>1117</v>
      </c>
    </row>
    <row r="105" spans="8:11" ht="15" customHeight="1">
      <c r="H105" s="71" t="s">
        <v>239</v>
      </c>
      <c r="J105" s="92" t="s">
        <v>1101</v>
      </c>
      <c r="K105" s="88" t="s">
        <v>1118</v>
      </c>
    </row>
    <row r="106" spans="8:11" ht="15" customHeight="1">
      <c r="H106" s="71" t="s">
        <v>240</v>
      </c>
      <c r="J106" s="92" t="s">
        <v>1101</v>
      </c>
      <c r="K106" s="88" t="s">
        <v>1119</v>
      </c>
    </row>
    <row r="107" spans="8:11" ht="15" customHeight="1">
      <c r="H107" s="71" t="s">
        <v>241</v>
      </c>
      <c r="J107" s="92" t="s">
        <v>1101</v>
      </c>
      <c r="K107" s="88" t="s">
        <v>1120</v>
      </c>
    </row>
    <row r="108" spans="8:11" ht="15" customHeight="1">
      <c r="H108" s="71" t="s">
        <v>242</v>
      </c>
      <c r="J108" s="92" t="s">
        <v>1101</v>
      </c>
      <c r="K108" s="88" t="s">
        <v>1121</v>
      </c>
    </row>
    <row r="109" spans="8:11" ht="15" customHeight="1">
      <c r="H109" s="71" t="s">
        <v>243</v>
      </c>
      <c r="J109" s="92" t="s">
        <v>1101</v>
      </c>
      <c r="K109" s="88" t="s">
        <v>1122</v>
      </c>
    </row>
    <row r="110" spans="8:11" ht="15" customHeight="1">
      <c r="H110" s="71" t="s">
        <v>244</v>
      </c>
      <c r="J110" s="92" t="s">
        <v>1101</v>
      </c>
      <c r="K110" s="88" t="s">
        <v>1123</v>
      </c>
    </row>
    <row r="111" spans="8:11" ht="15" customHeight="1">
      <c r="H111" s="71" t="s">
        <v>245</v>
      </c>
      <c r="J111" s="92" t="s">
        <v>1101</v>
      </c>
      <c r="K111" s="88" t="s">
        <v>1124</v>
      </c>
    </row>
    <row r="112" spans="8:11" ht="15" customHeight="1">
      <c r="H112" s="71" t="s">
        <v>246</v>
      </c>
      <c r="J112" s="92" t="s">
        <v>1101</v>
      </c>
      <c r="K112" s="88" t="s">
        <v>1125</v>
      </c>
    </row>
    <row r="113" spans="8:11" ht="15" customHeight="1">
      <c r="H113" s="71" t="s">
        <v>247</v>
      </c>
      <c r="J113" s="92" t="s">
        <v>1101</v>
      </c>
      <c r="K113" s="88" t="s">
        <v>1126</v>
      </c>
    </row>
    <row r="114" spans="8:11" ht="15" customHeight="1">
      <c r="H114" s="71" t="s">
        <v>248</v>
      </c>
      <c r="J114" s="92" t="s">
        <v>1101</v>
      </c>
      <c r="K114" s="88" t="s">
        <v>1127</v>
      </c>
    </row>
    <row r="115" spans="8:11" ht="15" customHeight="1">
      <c r="H115" s="71" t="s">
        <v>249</v>
      </c>
      <c r="J115" s="93" t="s">
        <v>1101</v>
      </c>
      <c r="K115" s="89" t="s">
        <v>1128</v>
      </c>
    </row>
    <row r="116" spans="8:11" ht="15" customHeight="1">
      <c r="H116" s="71" t="s">
        <v>250</v>
      </c>
      <c r="J116" s="92" t="s">
        <v>1101</v>
      </c>
      <c r="K116" s="88" t="s">
        <v>1129</v>
      </c>
    </row>
    <row r="117" spans="8:11" ht="15" customHeight="1">
      <c r="H117" s="71" t="s">
        <v>251</v>
      </c>
      <c r="J117" s="92" t="s">
        <v>1101</v>
      </c>
      <c r="K117" s="88" t="s">
        <v>1130</v>
      </c>
    </row>
    <row r="118" spans="8:11" ht="15" customHeight="1">
      <c r="H118" s="71" t="s">
        <v>252</v>
      </c>
      <c r="J118" s="93" t="s">
        <v>1101</v>
      </c>
      <c r="K118" s="89" t="s">
        <v>1131</v>
      </c>
    </row>
    <row r="119" spans="8:11" ht="15" customHeight="1">
      <c r="H119" s="71" t="s">
        <v>253</v>
      </c>
      <c r="J119" s="17" t="s">
        <v>1101</v>
      </c>
      <c r="K119" s="88" t="s">
        <v>1132</v>
      </c>
    </row>
    <row r="120" spans="8:11" ht="15" customHeight="1">
      <c r="H120" s="71" t="s">
        <v>254</v>
      </c>
      <c r="J120" s="92" t="s">
        <v>1101</v>
      </c>
      <c r="K120" s="88" t="s">
        <v>1133</v>
      </c>
    </row>
    <row r="121" spans="8:11" ht="15" customHeight="1">
      <c r="H121" s="71" t="s">
        <v>255</v>
      </c>
      <c r="J121" s="92" t="s">
        <v>1101</v>
      </c>
      <c r="K121" s="88" t="s">
        <v>1134</v>
      </c>
    </row>
    <row r="122" spans="8:11" ht="15" customHeight="1">
      <c r="H122" s="71" t="s">
        <v>256</v>
      </c>
      <c r="J122" s="92" t="s">
        <v>1101</v>
      </c>
      <c r="K122" s="88" t="s">
        <v>1135</v>
      </c>
    </row>
    <row r="123" spans="8:11" ht="15" customHeight="1">
      <c r="H123" s="71" t="s">
        <v>257</v>
      </c>
      <c r="J123" s="92" t="s">
        <v>1101</v>
      </c>
      <c r="K123" s="88" t="s">
        <v>1136</v>
      </c>
    </row>
    <row r="124" spans="8:11" ht="15" customHeight="1">
      <c r="H124" s="71" t="s">
        <v>258</v>
      </c>
      <c r="J124" s="92" t="s">
        <v>1101</v>
      </c>
      <c r="K124" s="88" t="s">
        <v>1137</v>
      </c>
    </row>
    <row r="125" spans="8:11" ht="15" customHeight="1">
      <c r="H125" s="71" t="s">
        <v>259</v>
      </c>
      <c r="J125" s="92" t="s">
        <v>1101</v>
      </c>
      <c r="K125" s="88" t="s">
        <v>1138</v>
      </c>
    </row>
    <row r="126" spans="8:11" ht="15" customHeight="1">
      <c r="H126" s="71" t="s">
        <v>260</v>
      </c>
      <c r="J126" s="17" t="s">
        <v>1101</v>
      </c>
      <c r="K126" s="88" t="s">
        <v>1139</v>
      </c>
    </row>
    <row r="127" spans="8:11" ht="15" customHeight="1">
      <c r="H127" s="71" t="s">
        <v>261</v>
      </c>
      <c r="J127" s="92" t="s">
        <v>1101</v>
      </c>
      <c r="K127" s="88" t="s">
        <v>1140</v>
      </c>
    </row>
    <row r="128" spans="8:11" ht="15" customHeight="1">
      <c r="H128" s="71" t="s">
        <v>262</v>
      </c>
      <c r="J128" s="92" t="s">
        <v>1101</v>
      </c>
      <c r="K128" s="88" t="s">
        <v>1141</v>
      </c>
    </row>
    <row r="129" spans="8:11" ht="15" customHeight="1">
      <c r="H129" s="71" t="s">
        <v>263</v>
      </c>
      <c r="J129" s="92" t="s">
        <v>1101</v>
      </c>
      <c r="K129" s="88" t="s">
        <v>676</v>
      </c>
    </row>
    <row r="130" spans="8:11" ht="15" customHeight="1">
      <c r="H130" s="71" t="s">
        <v>264</v>
      </c>
      <c r="J130" s="90"/>
      <c r="K130" s="91"/>
    </row>
    <row r="131" spans="8:11" ht="15" customHeight="1">
      <c r="H131" s="71" t="s">
        <v>265</v>
      </c>
      <c r="J131" s="17" t="s">
        <v>1142</v>
      </c>
      <c r="K131" s="88" t="s">
        <v>1143</v>
      </c>
    </row>
    <row r="132" spans="8:11" ht="15" customHeight="1">
      <c r="H132" s="71" t="s">
        <v>266</v>
      </c>
      <c r="J132" s="17" t="s">
        <v>1142</v>
      </c>
      <c r="K132" s="88" t="s">
        <v>1144</v>
      </c>
    </row>
    <row r="133" spans="8:11" ht="15" customHeight="1">
      <c r="H133" s="71" t="s">
        <v>267</v>
      </c>
      <c r="J133" s="92" t="s">
        <v>1142</v>
      </c>
      <c r="K133" s="88" t="s">
        <v>1145</v>
      </c>
    </row>
    <row r="134" spans="8:11" ht="15" customHeight="1">
      <c r="H134" s="71" t="s">
        <v>268</v>
      </c>
      <c r="J134" s="92" t="s">
        <v>1142</v>
      </c>
      <c r="K134" s="88" t="s">
        <v>1146</v>
      </c>
    </row>
    <row r="135" spans="8:11" ht="15" customHeight="1">
      <c r="H135" s="71" t="s">
        <v>269</v>
      </c>
      <c r="J135" s="92" t="s">
        <v>1142</v>
      </c>
      <c r="K135" s="88" t="s">
        <v>1147</v>
      </c>
    </row>
    <row r="136" spans="8:11" ht="15" customHeight="1">
      <c r="H136" s="71" t="s">
        <v>270</v>
      </c>
      <c r="J136" s="92" t="s">
        <v>1142</v>
      </c>
      <c r="K136" s="88" t="s">
        <v>1148</v>
      </c>
    </row>
    <row r="137" spans="8:11" ht="15" customHeight="1">
      <c r="H137" s="71" t="s">
        <v>271</v>
      </c>
      <c r="J137" s="92" t="s">
        <v>1142</v>
      </c>
      <c r="K137" s="88" t="s">
        <v>1149</v>
      </c>
    </row>
    <row r="138" spans="8:11" ht="15" customHeight="1">
      <c r="H138" s="71" t="s">
        <v>272</v>
      </c>
      <c r="J138" s="92" t="s">
        <v>1142</v>
      </c>
      <c r="K138" s="88" t="s">
        <v>1150</v>
      </c>
    </row>
    <row r="139" spans="8:11" ht="15" customHeight="1">
      <c r="H139" s="71" t="s">
        <v>273</v>
      </c>
      <c r="J139" s="92" t="s">
        <v>1142</v>
      </c>
      <c r="K139" s="88" t="s">
        <v>1151</v>
      </c>
    </row>
    <row r="140" spans="8:11" ht="15" customHeight="1">
      <c r="H140" s="71" t="s">
        <v>274</v>
      </c>
      <c r="J140" s="92" t="s">
        <v>1142</v>
      </c>
      <c r="K140" s="88" t="s">
        <v>1152</v>
      </c>
    </row>
    <row r="141" spans="8:11" ht="15" customHeight="1">
      <c r="H141" s="71" t="s">
        <v>275</v>
      </c>
      <c r="J141" s="17" t="s">
        <v>1142</v>
      </c>
      <c r="K141" s="88" t="s">
        <v>1153</v>
      </c>
    </row>
    <row r="142" spans="8:11" ht="15" customHeight="1">
      <c r="H142" s="71" t="s">
        <v>276</v>
      </c>
      <c r="J142" s="17" t="s">
        <v>1142</v>
      </c>
      <c r="K142" s="88" t="s">
        <v>1154</v>
      </c>
    </row>
    <row r="143" spans="8:11" ht="15" customHeight="1">
      <c r="H143" s="71" t="s">
        <v>277</v>
      </c>
      <c r="J143" s="92" t="s">
        <v>1142</v>
      </c>
      <c r="K143" s="88" t="s">
        <v>1155</v>
      </c>
    </row>
    <row r="144" spans="8:11" ht="15" customHeight="1">
      <c r="H144" s="71" t="s">
        <v>278</v>
      </c>
      <c r="J144" s="92" t="s">
        <v>1142</v>
      </c>
      <c r="K144" s="88" t="s">
        <v>1156</v>
      </c>
    </row>
    <row r="145" spans="8:11" ht="15" customHeight="1">
      <c r="H145" s="71" t="s">
        <v>279</v>
      </c>
      <c r="J145" s="92" t="s">
        <v>1142</v>
      </c>
      <c r="K145" s="88" t="s">
        <v>1157</v>
      </c>
    </row>
    <row r="146" spans="8:11" ht="15" customHeight="1">
      <c r="H146" s="71" t="s">
        <v>280</v>
      </c>
      <c r="J146" s="92" t="s">
        <v>1142</v>
      </c>
      <c r="K146" s="88" t="s">
        <v>1158</v>
      </c>
    </row>
    <row r="147" spans="8:11" ht="15" customHeight="1">
      <c r="H147" s="71" t="s">
        <v>281</v>
      </c>
      <c r="J147" s="92" t="s">
        <v>1142</v>
      </c>
      <c r="K147" s="88" t="s">
        <v>1159</v>
      </c>
    </row>
    <row r="148" spans="8:11" ht="15" customHeight="1">
      <c r="H148" s="71" t="s">
        <v>282</v>
      </c>
      <c r="J148" s="92" t="s">
        <v>1142</v>
      </c>
      <c r="K148" s="88" t="s">
        <v>1160</v>
      </c>
    </row>
    <row r="149" spans="8:11" ht="15" customHeight="1">
      <c r="H149" s="71" t="s">
        <v>283</v>
      </c>
      <c r="J149" s="92" t="s">
        <v>1142</v>
      </c>
      <c r="K149" s="88" t="s">
        <v>1161</v>
      </c>
    </row>
    <row r="150" spans="8:11" ht="15" customHeight="1">
      <c r="H150" s="71" t="s">
        <v>284</v>
      </c>
      <c r="J150" s="92" t="s">
        <v>1142</v>
      </c>
      <c r="K150" s="88" t="s">
        <v>1162</v>
      </c>
    </row>
    <row r="151" spans="8:11" ht="15" customHeight="1">
      <c r="H151" s="71" t="s">
        <v>285</v>
      </c>
      <c r="J151" s="92" t="s">
        <v>1142</v>
      </c>
      <c r="K151" s="88" t="s">
        <v>1163</v>
      </c>
    </row>
    <row r="152" spans="8:11" ht="15" customHeight="1">
      <c r="H152" s="71" t="s">
        <v>286</v>
      </c>
      <c r="J152" s="92" t="s">
        <v>1142</v>
      </c>
      <c r="K152" s="88" t="s">
        <v>1164</v>
      </c>
    </row>
    <row r="153" spans="8:11" ht="15" customHeight="1">
      <c r="H153" s="71" t="s">
        <v>287</v>
      </c>
      <c r="J153" s="92" t="s">
        <v>1142</v>
      </c>
      <c r="K153" s="88" t="s">
        <v>1165</v>
      </c>
    </row>
    <row r="154" spans="8:11" ht="15" customHeight="1">
      <c r="H154" s="71" t="s">
        <v>288</v>
      </c>
      <c r="J154" s="92" t="s">
        <v>1142</v>
      </c>
      <c r="K154" s="88" t="s">
        <v>1166</v>
      </c>
    </row>
    <row r="155" spans="8:11" ht="15" customHeight="1">
      <c r="H155" s="71" t="s">
        <v>289</v>
      </c>
      <c r="J155" s="92" t="s">
        <v>1142</v>
      </c>
      <c r="K155" s="88" t="s">
        <v>1167</v>
      </c>
    </row>
    <row r="156" spans="8:11" ht="15" customHeight="1">
      <c r="H156" s="71" t="s">
        <v>290</v>
      </c>
      <c r="J156" s="92" t="s">
        <v>1142</v>
      </c>
      <c r="K156" s="88" t="s">
        <v>1168</v>
      </c>
    </row>
    <row r="157" spans="8:11" ht="15" customHeight="1">
      <c r="H157" s="71" t="s">
        <v>291</v>
      </c>
      <c r="J157" s="92" t="s">
        <v>1142</v>
      </c>
      <c r="K157" s="88" t="s">
        <v>1169</v>
      </c>
    </row>
    <row r="158" spans="8:11" ht="15" customHeight="1">
      <c r="H158" s="71" t="s">
        <v>292</v>
      </c>
      <c r="J158" s="90"/>
      <c r="K158" s="91"/>
    </row>
    <row r="159" spans="8:11" ht="15" customHeight="1">
      <c r="H159" s="71" t="s">
        <v>293</v>
      </c>
      <c r="J159" s="92" t="s">
        <v>1170</v>
      </c>
      <c r="K159" s="88" t="s">
        <v>1171</v>
      </c>
    </row>
    <row r="160" spans="8:11" ht="15" customHeight="1">
      <c r="H160" s="71" t="s">
        <v>294</v>
      </c>
      <c r="J160" s="90"/>
      <c r="K160" s="91"/>
    </row>
    <row r="161" spans="8:11" ht="15" customHeight="1">
      <c r="H161" s="71" t="s">
        <v>295</v>
      </c>
      <c r="J161" s="92" t="s">
        <v>1172</v>
      </c>
      <c r="K161" s="88" t="s">
        <v>1173</v>
      </c>
    </row>
    <row r="162" spans="8:11" ht="15" customHeight="1">
      <c r="H162" s="71" t="s">
        <v>296</v>
      </c>
      <c r="J162" s="92" t="s">
        <v>1172</v>
      </c>
      <c r="K162" s="88" t="s">
        <v>1174</v>
      </c>
    </row>
    <row r="163" spans="8:11" ht="15" customHeight="1">
      <c r="H163" s="71" t="s">
        <v>297</v>
      </c>
      <c r="J163" s="92" t="s">
        <v>1172</v>
      </c>
      <c r="K163" s="88" t="s">
        <v>1175</v>
      </c>
    </row>
    <row r="164" spans="8:11" ht="15" customHeight="1">
      <c r="H164" s="72" t="s">
        <v>298</v>
      </c>
      <c r="J164" s="92" t="s">
        <v>1172</v>
      </c>
      <c r="K164" s="88" t="s">
        <v>1176</v>
      </c>
    </row>
    <row r="165" spans="8:11" ht="15" customHeight="1">
      <c r="H165" s="71" t="s">
        <v>299</v>
      </c>
      <c r="J165" s="92" t="s">
        <v>1172</v>
      </c>
      <c r="K165" s="88" t="s">
        <v>1177</v>
      </c>
    </row>
    <row r="166" spans="8:11" ht="15" customHeight="1">
      <c r="H166" s="71" t="s">
        <v>300</v>
      </c>
      <c r="J166" s="90"/>
      <c r="K166" s="91"/>
    </row>
    <row r="167" spans="8:11" ht="15" customHeight="1">
      <c r="H167" s="72" t="s">
        <v>301</v>
      </c>
      <c r="J167" s="92" t="s">
        <v>1178</v>
      </c>
      <c r="K167" s="88" t="s">
        <v>1179</v>
      </c>
    </row>
    <row r="168" spans="8:11" ht="15" customHeight="1">
      <c r="H168" s="71" t="s">
        <v>302</v>
      </c>
      <c r="J168" s="92" t="s">
        <v>1178</v>
      </c>
      <c r="K168" s="88" t="s">
        <v>1180</v>
      </c>
    </row>
    <row r="169" spans="8:11" ht="15" customHeight="1">
      <c r="H169" s="71" t="s">
        <v>303</v>
      </c>
      <c r="J169" s="92" t="s">
        <v>1178</v>
      </c>
      <c r="K169" s="88" t="s">
        <v>1181</v>
      </c>
    </row>
    <row r="170" spans="8:11" ht="15" customHeight="1">
      <c r="H170" s="71" t="s">
        <v>304</v>
      </c>
      <c r="J170" s="17" t="s">
        <v>1178</v>
      </c>
      <c r="K170" s="88" t="s">
        <v>1182</v>
      </c>
    </row>
    <row r="171" spans="8:11" ht="15" customHeight="1">
      <c r="H171" s="71" t="s">
        <v>305</v>
      </c>
      <c r="J171" s="92" t="s">
        <v>1178</v>
      </c>
      <c r="K171" s="88" t="s">
        <v>1183</v>
      </c>
    </row>
    <row r="172" spans="8:11" ht="15" customHeight="1">
      <c r="H172" s="71" t="s">
        <v>306</v>
      </c>
    </row>
    <row r="173" spans="8:11" ht="15" customHeight="1">
      <c r="H173" s="71" t="s">
        <v>307</v>
      </c>
    </row>
    <row r="174" spans="8:11" ht="15" customHeight="1">
      <c r="H174" s="71" t="s">
        <v>308</v>
      </c>
    </row>
    <row r="175" spans="8:11" ht="15" customHeight="1">
      <c r="H175" s="72" t="s">
        <v>309</v>
      </c>
    </row>
    <row r="176" spans="8:11" ht="15" customHeight="1">
      <c r="H176" s="72" t="s">
        <v>310</v>
      </c>
    </row>
    <row r="177" spans="8:8" ht="15" customHeight="1">
      <c r="H177" s="75" t="s">
        <v>311</v>
      </c>
    </row>
    <row r="178" spans="8:8" ht="15" customHeight="1">
      <c r="H178" s="71" t="s">
        <v>312</v>
      </c>
    </row>
    <row r="179" spans="8:8" ht="15" customHeight="1">
      <c r="H179" s="71" t="s">
        <v>313</v>
      </c>
    </row>
    <row r="180" spans="8:8" ht="15" customHeight="1">
      <c r="H180" s="74" t="s">
        <v>314</v>
      </c>
    </row>
    <row r="181" spans="8:8" ht="15" customHeight="1">
      <c r="H181" s="71" t="s">
        <v>314</v>
      </c>
    </row>
    <row r="182" spans="8:8" ht="15" customHeight="1">
      <c r="H182" s="71" t="s">
        <v>315</v>
      </c>
    </row>
    <row r="183" spans="8:8" ht="15" customHeight="1">
      <c r="H183" s="76"/>
    </row>
    <row r="184" spans="8:8" ht="15" customHeight="1">
      <c r="H184" s="71" t="s">
        <v>316</v>
      </c>
    </row>
    <row r="185" spans="8:8" ht="15" customHeight="1">
      <c r="H185" s="71" t="s">
        <v>317</v>
      </c>
    </row>
    <row r="186" spans="8:8" ht="15" customHeight="1">
      <c r="H186" s="71" t="s">
        <v>318</v>
      </c>
    </row>
    <row r="187" spans="8:8" ht="15" customHeight="1">
      <c r="H187" s="71" t="s">
        <v>319</v>
      </c>
    </row>
    <row r="188" spans="8:8" ht="15" customHeight="1">
      <c r="H188" s="71" t="s">
        <v>320</v>
      </c>
    </row>
    <row r="189" spans="8:8" ht="15" customHeight="1">
      <c r="H189" s="73"/>
    </row>
    <row r="190" spans="8:8" ht="15" customHeight="1">
      <c r="H190" s="77" t="s">
        <v>321</v>
      </c>
    </row>
    <row r="191" spans="8:8" ht="15" customHeight="1">
      <c r="H191" s="77" t="s">
        <v>322</v>
      </c>
    </row>
    <row r="192" spans="8:8" ht="15" customHeight="1">
      <c r="H192" s="77" t="s">
        <v>323</v>
      </c>
    </row>
    <row r="193" spans="8:8" ht="15" customHeight="1">
      <c r="H193" s="77" t="s">
        <v>324</v>
      </c>
    </row>
    <row r="194" spans="8:8" ht="15" customHeight="1">
      <c r="H194" s="77" t="s">
        <v>325</v>
      </c>
    </row>
    <row r="195" spans="8:8" ht="15" customHeight="1">
      <c r="H195" s="77" t="s">
        <v>326</v>
      </c>
    </row>
    <row r="196" spans="8:8" ht="15" customHeight="1">
      <c r="H196" s="77" t="s">
        <v>327</v>
      </c>
    </row>
    <row r="197" spans="8:8" ht="15" customHeight="1">
      <c r="H197" s="77" t="s">
        <v>328</v>
      </c>
    </row>
    <row r="198" spans="8:8" ht="15" customHeight="1">
      <c r="H198" s="77" t="s">
        <v>329</v>
      </c>
    </row>
    <row r="199" spans="8:8" ht="15" customHeight="1">
      <c r="H199" s="77" t="s">
        <v>330</v>
      </c>
    </row>
    <row r="200" spans="8:8" ht="15" customHeight="1">
      <c r="H200" s="77" t="s">
        <v>331</v>
      </c>
    </row>
    <row r="201" spans="8:8" ht="15" customHeight="1">
      <c r="H201" s="77" t="s">
        <v>332</v>
      </c>
    </row>
    <row r="202" spans="8:8" ht="15" customHeight="1">
      <c r="H202" s="77" t="s">
        <v>333</v>
      </c>
    </row>
    <row r="203" spans="8:8" ht="15" customHeight="1">
      <c r="H203" s="77" t="s">
        <v>334</v>
      </c>
    </row>
    <row r="204" spans="8:8" ht="15" customHeight="1">
      <c r="H204" s="71" t="s">
        <v>335</v>
      </c>
    </row>
    <row r="205" spans="8:8" ht="15" customHeight="1">
      <c r="H205" s="71" t="s">
        <v>336</v>
      </c>
    </row>
    <row r="206" spans="8:8" ht="15" customHeight="1">
      <c r="H206" s="71" t="s">
        <v>337</v>
      </c>
    </row>
    <row r="207" spans="8:8" ht="15" customHeight="1">
      <c r="H207" s="71" t="s">
        <v>338</v>
      </c>
    </row>
    <row r="208" spans="8:8" ht="15" customHeight="1">
      <c r="H208" s="71" t="s">
        <v>339</v>
      </c>
    </row>
    <row r="209" spans="8:8" ht="15" customHeight="1">
      <c r="H209" s="71" t="s">
        <v>339</v>
      </c>
    </row>
    <row r="210" spans="8:8" ht="15" customHeight="1">
      <c r="H210" s="71" t="s">
        <v>340</v>
      </c>
    </row>
    <row r="211" spans="8:8" ht="15" customHeight="1">
      <c r="H211" s="71" t="s">
        <v>341</v>
      </c>
    </row>
    <row r="212" spans="8:8" ht="15" customHeight="1">
      <c r="H212" s="71" t="s">
        <v>342</v>
      </c>
    </row>
    <row r="213" spans="8:8" ht="15" customHeight="1">
      <c r="H213" s="71" t="s">
        <v>343</v>
      </c>
    </row>
    <row r="214" spans="8:8" ht="15" customHeight="1">
      <c r="H214" s="71" t="s">
        <v>344</v>
      </c>
    </row>
    <row r="215" spans="8:8" ht="15" customHeight="1">
      <c r="H215" s="71" t="s">
        <v>345</v>
      </c>
    </row>
    <row r="216" spans="8:8" ht="15" customHeight="1">
      <c r="H216" s="71" t="s">
        <v>346</v>
      </c>
    </row>
    <row r="217" spans="8:8" ht="15" customHeight="1">
      <c r="H217" s="78" t="s">
        <v>347</v>
      </c>
    </row>
    <row r="218" spans="8:8" ht="15" customHeight="1">
      <c r="H218" s="74" t="s">
        <v>348</v>
      </c>
    </row>
    <row r="219" spans="8:8" ht="15" customHeight="1">
      <c r="H219" s="71" t="s">
        <v>348</v>
      </c>
    </row>
    <row r="220" spans="8:8" ht="15" customHeight="1">
      <c r="H220" s="72" t="s">
        <v>349</v>
      </c>
    </row>
    <row r="221" spans="8:8" ht="15" customHeight="1">
      <c r="H221" s="72" t="s">
        <v>350</v>
      </c>
    </row>
    <row r="222" spans="8:8" ht="15" customHeight="1">
      <c r="H222" s="72" t="s">
        <v>351</v>
      </c>
    </row>
    <row r="223" spans="8:8" ht="15" customHeight="1">
      <c r="H223" s="72" t="s">
        <v>352</v>
      </c>
    </row>
    <row r="224" spans="8:8" ht="15" customHeight="1">
      <c r="H224" s="72" t="s">
        <v>353</v>
      </c>
    </row>
    <row r="225" spans="8:8" ht="15" customHeight="1">
      <c r="H225" s="72" t="s">
        <v>354</v>
      </c>
    </row>
    <row r="226" spans="8:8" ht="15" customHeight="1">
      <c r="H226" s="74" t="s">
        <v>355</v>
      </c>
    </row>
    <row r="227" spans="8:8" ht="15" customHeight="1">
      <c r="H227" s="71" t="s">
        <v>355</v>
      </c>
    </row>
    <row r="228" spans="8:8" ht="15" customHeight="1">
      <c r="H228" s="72" t="s">
        <v>356</v>
      </c>
    </row>
    <row r="229" spans="8:8" ht="15" customHeight="1">
      <c r="H229" s="72" t="s">
        <v>357</v>
      </c>
    </row>
    <row r="230" spans="8:8" ht="15" customHeight="1">
      <c r="H230" s="71" t="s">
        <v>358</v>
      </c>
    </row>
    <row r="231" spans="8:8" ht="15" customHeight="1">
      <c r="H231" s="71" t="s">
        <v>359</v>
      </c>
    </row>
    <row r="232" spans="8:8" ht="15" customHeight="1">
      <c r="H232" s="72" t="s">
        <v>360</v>
      </c>
    </row>
    <row r="233" spans="8:8" ht="15" customHeight="1">
      <c r="H233" s="71" t="s">
        <v>361</v>
      </c>
    </row>
    <row r="234" spans="8:8" ht="15" customHeight="1">
      <c r="H234" s="72" t="s">
        <v>362</v>
      </c>
    </row>
    <row r="235" spans="8:8" ht="15" customHeight="1">
      <c r="H235" s="71" t="s">
        <v>363</v>
      </c>
    </row>
    <row r="236" spans="8:8" ht="15" customHeight="1">
      <c r="H236" s="71" t="s">
        <v>364</v>
      </c>
    </row>
    <row r="237" spans="8:8" ht="15" customHeight="1">
      <c r="H237" s="71" t="s">
        <v>365</v>
      </c>
    </row>
    <row r="238" spans="8:8" ht="15" customHeight="1">
      <c r="H238" s="71" t="s">
        <v>366</v>
      </c>
    </row>
    <row r="239" spans="8:8" ht="15" customHeight="1">
      <c r="H239" s="71" t="s">
        <v>367</v>
      </c>
    </row>
    <row r="240" spans="8:8" ht="15" customHeight="1">
      <c r="H240" s="71" t="s">
        <v>368</v>
      </c>
    </row>
    <row r="241" spans="8:8" ht="15" customHeight="1">
      <c r="H241" s="71" t="s">
        <v>369</v>
      </c>
    </row>
    <row r="242" spans="8:8" ht="15" customHeight="1">
      <c r="H242" s="71" t="s">
        <v>370</v>
      </c>
    </row>
    <row r="243" spans="8:8" ht="15" customHeight="1">
      <c r="H243" s="71" t="s">
        <v>371</v>
      </c>
    </row>
    <row r="244" spans="8:8" ht="15" customHeight="1">
      <c r="H244" s="71" t="s">
        <v>372</v>
      </c>
    </row>
    <row r="245" spans="8:8" ht="15" customHeight="1">
      <c r="H245" s="71" t="s">
        <v>373</v>
      </c>
    </row>
    <row r="246" spans="8:8" ht="15" customHeight="1">
      <c r="H246" s="71" t="s">
        <v>374</v>
      </c>
    </row>
    <row r="247" spans="8:8" ht="15" customHeight="1">
      <c r="H247" s="71" t="s">
        <v>375</v>
      </c>
    </row>
    <row r="248" spans="8:8" ht="15" customHeight="1">
      <c r="H248" s="71" t="s">
        <v>376</v>
      </c>
    </row>
    <row r="249" spans="8:8" ht="15" customHeight="1">
      <c r="H249" s="71" t="s">
        <v>377</v>
      </c>
    </row>
    <row r="250" spans="8:8" ht="15" customHeight="1">
      <c r="H250" s="74" t="s">
        <v>378</v>
      </c>
    </row>
    <row r="251" spans="8:8" ht="15" customHeight="1">
      <c r="H251" s="71" t="s">
        <v>378</v>
      </c>
    </row>
    <row r="252" spans="8:8" ht="15" customHeight="1">
      <c r="H252" s="74" t="s">
        <v>379</v>
      </c>
    </row>
    <row r="253" spans="8:8" ht="15" customHeight="1">
      <c r="H253" s="71" t="s">
        <v>379</v>
      </c>
    </row>
    <row r="254" spans="8:8" ht="15" customHeight="1">
      <c r="H254" s="74" t="s">
        <v>380</v>
      </c>
    </row>
    <row r="255" spans="8:8" ht="15" customHeight="1">
      <c r="H255" s="71" t="s">
        <v>380</v>
      </c>
    </row>
    <row r="256" spans="8:8" ht="15" customHeight="1">
      <c r="H256" s="79" t="s">
        <v>381</v>
      </c>
    </row>
    <row r="257" spans="8:8" ht="15" customHeight="1">
      <c r="H257" s="71" t="s">
        <v>381</v>
      </c>
    </row>
    <row r="258" spans="8:8" ht="15" customHeight="1">
      <c r="H258" s="71" t="s">
        <v>382</v>
      </c>
    </row>
    <row r="259" spans="8:8" ht="15" customHeight="1">
      <c r="H259" s="71" t="s">
        <v>383</v>
      </c>
    </row>
    <row r="260" spans="8:8" ht="15" customHeight="1">
      <c r="H260" s="71" t="s">
        <v>384</v>
      </c>
    </row>
    <row r="261" spans="8:8" ht="15" customHeight="1">
      <c r="H261" s="71" t="s">
        <v>385</v>
      </c>
    </row>
    <row r="262" spans="8:8" ht="15" customHeight="1">
      <c r="H262" s="71" t="s">
        <v>386</v>
      </c>
    </row>
    <row r="263" spans="8:8" ht="15" customHeight="1">
      <c r="H263" s="71" t="s">
        <v>387</v>
      </c>
    </row>
    <row r="264" spans="8:8" ht="15" customHeight="1">
      <c r="H264" s="71" t="s">
        <v>388</v>
      </c>
    </row>
    <row r="265" spans="8:8" ht="15" customHeight="1">
      <c r="H265" s="71" t="s">
        <v>389</v>
      </c>
    </row>
    <row r="266" spans="8:8" ht="15" customHeight="1">
      <c r="H266" s="72" t="s">
        <v>390</v>
      </c>
    </row>
    <row r="267" spans="8:8" ht="15" customHeight="1">
      <c r="H267" s="71" t="s">
        <v>391</v>
      </c>
    </row>
    <row r="268" spans="8:8" ht="15" customHeight="1">
      <c r="H268" s="71" t="s">
        <v>392</v>
      </c>
    </row>
    <row r="269" spans="8:8" ht="15" customHeight="1">
      <c r="H269" s="71" t="s">
        <v>393</v>
      </c>
    </row>
    <row r="270" spans="8:8" ht="15" customHeight="1">
      <c r="H270" s="71" t="s">
        <v>394</v>
      </c>
    </row>
    <row r="271" spans="8:8" ht="15" customHeight="1">
      <c r="H271" s="71" t="s">
        <v>395</v>
      </c>
    </row>
    <row r="272" spans="8:8" ht="15" customHeight="1">
      <c r="H272" s="71" t="s">
        <v>396</v>
      </c>
    </row>
    <row r="273" spans="8:8" ht="15" customHeight="1">
      <c r="H273" s="71" t="s">
        <v>397</v>
      </c>
    </row>
    <row r="274" spans="8:8" ht="15" customHeight="1">
      <c r="H274" s="71" t="s">
        <v>398</v>
      </c>
    </row>
    <row r="275" spans="8:8" ht="15" customHeight="1">
      <c r="H275" s="71" t="s">
        <v>399</v>
      </c>
    </row>
    <row r="276" spans="8:8" ht="15" customHeight="1">
      <c r="H276" s="71" t="s">
        <v>400</v>
      </c>
    </row>
    <row r="277" spans="8:8" ht="15" customHeight="1">
      <c r="H277" s="71" t="s">
        <v>401</v>
      </c>
    </row>
    <row r="278" spans="8:8" ht="15" customHeight="1">
      <c r="H278" s="71" t="s">
        <v>402</v>
      </c>
    </row>
    <row r="279" spans="8:8" ht="15" customHeight="1">
      <c r="H279" s="71" t="s">
        <v>403</v>
      </c>
    </row>
    <row r="280" spans="8:8" ht="15" customHeight="1">
      <c r="H280" s="71" t="s">
        <v>404</v>
      </c>
    </row>
    <row r="281" spans="8:8" ht="15" customHeight="1">
      <c r="H281" s="72" t="s">
        <v>405</v>
      </c>
    </row>
    <row r="282" spans="8:8" ht="15" customHeight="1">
      <c r="H282" s="72" t="s">
        <v>406</v>
      </c>
    </row>
    <row r="283" spans="8:8" ht="15" customHeight="1">
      <c r="H283" s="71" t="s">
        <v>407</v>
      </c>
    </row>
    <row r="284" spans="8:8" ht="15" customHeight="1">
      <c r="H284" s="71" t="s">
        <v>408</v>
      </c>
    </row>
    <row r="285" spans="8:8" ht="15" customHeight="1">
      <c r="H285" s="71" t="s">
        <v>409</v>
      </c>
    </row>
    <row r="286" spans="8:8" ht="15" customHeight="1">
      <c r="H286" s="71" t="s">
        <v>410</v>
      </c>
    </row>
    <row r="287" spans="8:8" ht="15" customHeight="1">
      <c r="H287" s="71" t="s">
        <v>411</v>
      </c>
    </row>
    <row r="288" spans="8:8" ht="15" customHeight="1">
      <c r="H288" s="71" t="s">
        <v>411</v>
      </c>
    </row>
    <row r="289" spans="8:8" ht="15" customHeight="1">
      <c r="H289" s="71" t="s">
        <v>412</v>
      </c>
    </row>
    <row r="290" spans="8:8" ht="15" customHeight="1">
      <c r="H290" s="71" t="s">
        <v>413</v>
      </c>
    </row>
    <row r="291" spans="8:8" ht="15" customHeight="1">
      <c r="H291" s="71" t="s">
        <v>414</v>
      </c>
    </row>
    <row r="292" spans="8:8" ht="15" customHeight="1">
      <c r="H292" s="71" t="s">
        <v>415</v>
      </c>
    </row>
    <row r="293" spans="8:8" ht="15" customHeight="1">
      <c r="H293" s="71" t="s">
        <v>416</v>
      </c>
    </row>
    <row r="294" spans="8:8" ht="15" customHeight="1">
      <c r="H294" s="71" t="s">
        <v>417</v>
      </c>
    </row>
    <row r="295" spans="8:8" ht="15" customHeight="1">
      <c r="H295" s="71" t="s">
        <v>418</v>
      </c>
    </row>
    <row r="296" spans="8:8" ht="15" customHeight="1">
      <c r="H296" s="71" t="s">
        <v>419</v>
      </c>
    </row>
    <row r="297" spans="8:8" ht="15" customHeight="1">
      <c r="H297" s="71" t="s">
        <v>420</v>
      </c>
    </row>
    <row r="298" spans="8:8" ht="15" customHeight="1">
      <c r="H298" s="71" t="s">
        <v>421</v>
      </c>
    </row>
    <row r="299" spans="8:8" ht="15" customHeight="1">
      <c r="H299" s="71" t="s">
        <v>422</v>
      </c>
    </row>
    <row r="300" spans="8:8" ht="15" customHeight="1">
      <c r="H300" s="71" t="s">
        <v>423</v>
      </c>
    </row>
    <row r="301" spans="8:8" ht="15" customHeight="1">
      <c r="H301" s="71" t="s">
        <v>424</v>
      </c>
    </row>
    <row r="302" spans="8:8" ht="15" customHeight="1">
      <c r="H302" s="71" t="s">
        <v>425</v>
      </c>
    </row>
    <row r="303" spans="8:8" ht="15" customHeight="1">
      <c r="H303" s="71" t="s">
        <v>426</v>
      </c>
    </row>
    <row r="304" spans="8:8" ht="15" customHeight="1">
      <c r="H304" s="71" t="s">
        <v>427</v>
      </c>
    </row>
    <row r="305" spans="8:8" ht="15" customHeight="1">
      <c r="H305" s="79" t="s">
        <v>428</v>
      </c>
    </row>
    <row r="306" spans="8:8" ht="15" customHeight="1">
      <c r="H306" s="71" t="s">
        <v>428</v>
      </c>
    </row>
    <row r="307" spans="8:8" ht="15" customHeight="1">
      <c r="H307" s="71" t="s">
        <v>429</v>
      </c>
    </row>
    <row r="308" spans="8:8" ht="15" customHeight="1">
      <c r="H308" s="71" t="s">
        <v>430</v>
      </c>
    </row>
    <row r="309" spans="8:8" ht="15" customHeight="1">
      <c r="H309" s="71" t="s">
        <v>431</v>
      </c>
    </row>
    <row r="310" spans="8:8" ht="15" customHeight="1">
      <c r="H310" s="71" t="s">
        <v>432</v>
      </c>
    </row>
    <row r="311" spans="8:8" ht="15" customHeight="1">
      <c r="H311" s="72" t="s">
        <v>433</v>
      </c>
    </row>
    <row r="312" spans="8:8" ht="15" customHeight="1">
      <c r="H312" s="71" t="s">
        <v>434</v>
      </c>
    </row>
    <row r="313" spans="8:8" ht="15" customHeight="1">
      <c r="H313" s="71" t="s">
        <v>435</v>
      </c>
    </row>
    <row r="314" spans="8:8" ht="15" customHeight="1">
      <c r="H314" s="71" t="s">
        <v>436</v>
      </c>
    </row>
    <row r="315" spans="8:8" ht="15" customHeight="1">
      <c r="H315" s="72" t="s">
        <v>437</v>
      </c>
    </row>
    <row r="316" spans="8:8" ht="15" customHeight="1">
      <c r="H316" s="77" t="s">
        <v>438</v>
      </c>
    </row>
    <row r="317" spans="8:8" ht="15" customHeight="1">
      <c r="H317" s="77" t="s">
        <v>439</v>
      </c>
    </row>
    <row r="318" spans="8:8" ht="15" customHeight="1">
      <c r="H318" s="77" t="s">
        <v>440</v>
      </c>
    </row>
    <row r="319" spans="8:8" ht="15" customHeight="1">
      <c r="H319" s="73"/>
    </row>
    <row r="320" spans="8:8" ht="15" customHeight="1">
      <c r="H320" s="71" t="s">
        <v>441</v>
      </c>
    </row>
    <row r="321" spans="8:8" ht="15" customHeight="1">
      <c r="H321" s="71" t="s">
        <v>442</v>
      </c>
    </row>
    <row r="322" spans="8:8" ht="15" customHeight="1">
      <c r="H322" s="73"/>
    </row>
    <row r="323" spans="8:8" ht="15" customHeight="1">
      <c r="H323" s="71" t="s">
        <v>443</v>
      </c>
    </row>
    <row r="324" spans="8:8" ht="15" customHeight="1">
      <c r="H324" s="71" t="s">
        <v>444</v>
      </c>
    </row>
    <row r="325" spans="8:8" ht="15" customHeight="1">
      <c r="H325" s="71" t="s">
        <v>445</v>
      </c>
    </row>
    <row r="326" spans="8:8" ht="15" customHeight="1">
      <c r="H326" s="72" t="s">
        <v>446</v>
      </c>
    </row>
    <row r="327" spans="8:8" ht="15" customHeight="1">
      <c r="H327" s="71" t="s">
        <v>447</v>
      </c>
    </row>
    <row r="328" spans="8:8" ht="15" customHeight="1">
      <c r="H328" s="79" t="s">
        <v>448</v>
      </c>
    </row>
    <row r="329" spans="8:8" ht="15" customHeight="1">
      <c r="H329" s="71" t="s">
        <v>448</v>
      </c>
    </row>
    <row r="330" spans="8:8" ht="15" customHeight="1">
      <c r="H330" s="80" t="s">
        <v>449</v>
      </c>
    </row>
    <row r="331" spans="8:8" ht="15" customHeight="1">
      <c r="H331" s="81" t="s">
        <v>450</v>
      </c>
    </row>
    <row r="332" spans="8:8" ht="15" customHeight="1">
      <c r="H332" s="71" t="s">
        <v>451</v>
      </c>
    </row>
    <row r="333" spans="8:8" ht="15" customHeight="1">
      <c r="H333" s="71" t="s">
        <v>452</v>
      </c>
    </row>
    <row r="334" spans="8:8" ht="15" customHeight="1">
      <c r="H334" s="71" t="s">
        <v>453</v>
      </c>
    </row>
    <row r="335" spans="8:8" ht="15" customHeight="1">
      <c r="H335" s="71" t="s">
        <v>454</v>
      </c>
    </row>
    <row r="336" spans="8:8" ht="15" customHeight="1">
      <c r="H336" s="71" t="s">
        <v>455</v>
      </c>
    </row>
    <row r="337" spans="8:8" ht="15" customHeight="1">
      <c r="H337" s="71" t="s">
        <v>456</v>
      </c>
    </row>
    <row r="338" spans="8:8" ht="15" customHeight="1">
      <c r="H338" s="71" t="s">
        <v>457</v>
      </c>
    </row>
    <row r="339" spans="8:8" ht="15" customHeight="1">
      <c r="H339" s="71" t="s">
        <v>458</v>
      </c>
    </row>
    <row r="340" spans="8:8" ht="15" customHeight="1">
      <c r="H340" s="71" t="s">
        <v>459</v>
      </c>
    </row>
    <row r="341" spans="8:8" ht="15" customHeight="1">
      <c r="H341" s="71" t="s">
        <v>460</v>
      </c>
    </row>
    <row r="342" spans="8:8" ht="15" customHeight="1">
      <c r="H342" s="71" t="s">
        <v>461</v>
      </c>
    </row>
    <row r="343" spans="8:8" ht="15" customHeight="1">
      <c r="H343" s="71" t="s">
        <v>462</v>
      </c>
    </row>
    <row r="344" spans="8:8" ht="15" customHeight="1">
      <c r="H344" s="71" t="s">
        <v>463</v>
      </c>
    </row>
    <row r="345" spans="8:8" ht="15" customHeight="1">
      <c r="H345" s="71" t="s">
        <v>464</v>
      </c>
    </row>
    <row r="346" spans="8:8" ht="15" customHeight="1">
      <c r="H346" s="71" t="s">
        <v>465</v>
      </c>
    </row>
    <row r="347" spans="8:8" ht="15" customHeight="1">
      <c r="H347" s="71" t="s">
        <v>466</v>
      </c>
    </row>
    <row r="348" spans="8:8" ht="15" customHeight="1">
      <c r="H348" s="71" t="s">
        <v>467</v>
      </c>
    </row>
    <row r="349" spans="8:8" ht="15" customHeight="1">
      <c r="H349" s="71" t="s">
        <v>468</v>
      </c>
    </row>
    <row r="350" spans="8:8" ht="15" customHeight="1">
      <c r="H350" s="71" t="s">
        <v>469</v>
      </c>
    </row>
    <row r="351" spans="8:8" ht="15" customHeight="1">
      <c r="H351" s="71" t="s">
        <v>470</v>
      </c>
    </row>
    <row r="352" spans="8:8" ht="15" customHeight="1">
      <c r="H352" s="71" t="s">
        <v>471</v>
      </c>
    </row>
    <row r="353" spans="8:8" ht="15" customHeight="1">
      <c r="H353" s="71" t="s">
        <v>472</v>
      </c>
    </row>
    <row r="354" spans="8:8" ht="15" customHeight="1">
      <c r="H354" s="71" t="s">
        <v>473</v>
      </c>
    </row>
    <row r="355" spans="8:8" ht="15" customHeight="1">
      <c r="H355" s="72" t="s">
        <v>474</v>
      </c>
    </row>
    <row r="356" spans="8:8" ht="15" customHeight="1">
      <c r="H356" s="72" t="s">
        <v>475</v>
      </c>
    </row>
    <row r="357" spans="8:8" ht="15" customHeight="1">
      <c r="H357" s="72" t="s">
        <v>476</v>
      </c>
    </row>
    <row r="358" spans="8:8" ht="15" customHeight="1">
      <c r="H358" s="71" t="s">
        <v>477</v>
      </c>
    </row>
    <row r="359" spans="8:8" ht="15" customHeight="1">
      <c r="H359" s="71" t="s">
        <v>478</v>
      </c>
    </row>
    <row r="360" spans="8:8" ht="15" customHeight="1">
      <c r="H360" s="71" t="s">
        <v>479</v>
      </c>
    </row>
    <row r="361" spans="8:8" ht="15" customHeight="1">
      <c r="H361" s="77" t="s">
        <v>480</v>
      </c>
    </row>
    <row r="362" spans="8:8" ht="15" customHeight="1">
      <c r="H362" s="71" t="s">
        <v>480</v>
      </c>
    </row>
    <row r="363" spans="8:8" ht="15" customHeight="1">
      <c r="H363" s="71" t="s">
        <v>481</v>
      </c>
    </row>
    <row r="364" spans="8:8" ht="15" customHeight="1">
      <c r="H364" s="71" t="s">
        <v>482</v>
      </c>
    </row>
    <row r="365" spans="8:8" ht="15" customHeight="1">
      <c r="H365" s="71" t="s">
        <v>483</v>
      </c>
    </row>
    <row r="366" spans="8:8" ht="15" customHeight="1">
      <c r="H366" s="71" t="s">
        <v>484</v>
      </c>
    </row>
    <row r="367" spans="8:8" ht="15" customHeight="1">
      <c r="H367" s="71" t="s">
        <v>485</v>
      </c>
    </row>
    <row r="368" spans="8:8" ht="15" customHeight="1">
      <c r="H368" s="80" t="s">
        <v>486</v>
      </c>
    </row>
    <row r="369" spans="8:8" ht="15" customHeight="1">
      <c r="H369" s="71" t="s">
        <v>487</v>
      </c>
    </row>
    <row r="370" spans="8:8" ht="15" customHeight="1">
      <c r="H370" s="73"/>
    </row>
    <row r="371" spans="8:8" ht="15" customHeight="1">
      <c r="H371" s="71" t="s">
        <v>488</v>
      </c>
    </row>
    <row r="372" spans="8:8" ht="15" customHeight="1">
      <c r="H372" s="71" t="s">
        <v>489</v>
      </c>
    </row>
    <row r="373" spans="8:8" ht="15" customHeight="1">
      <c r="H373" s="71" t="s">
        <v>490</v>
      </c>
    </row>
    <row r="374" spans="8:8" ht="15" customHeight="1">
      <c r="H374" s="71" t="s">
        <v>491</v>
      </c>
    </row>
    <row r="375" spans="8:8" ht="15" customHeight="1">
      <c r="H375" s="71" t="s">
        <v>492</v>
      </c>
    </row>
    <row r="376" spans="8:8" ht="15" customHeight="1">
      <c r="H376" s="71" t="s">
        <v>493</v>
      </c>
    </row>
    <row r="377" spans="8:8" ht="15" customHeight="1">
      <c r="H377" s="71" t="s">
        <v>494</v>
      </c>
    </row>
    <row r="378" spans="8:8" ht="15" customHeight="1">
      <c r="H378" s="71" t="s">
        <v>495</v>
      </c>
    </row>
    <row r="379" spans="8:8" ht="15" customHeight="1">
      <c r="H379" s="71" t="s">
        <v>496</v>
      </c>
    </row>
    <row r="380" spans="8:8" ht="15" customHeight="1">
      <c r="H380" s="71" t="s">
        <v>497</v>
      </c>
    </row>
    <row r="381" spans="8:8" ht="15" customHeight="1">
      <c r="H381" s="71" t="s">
        <v>498</v>
      </c>
    </row>
    <row r="382" spans="8:8" ht="15" customHeight="1">
      <c r="H382" s="71" t="s">
        <v>499</v>
      </c>
    </row>
    <row r="383" spans="8:8" ht="15" customHeight="1">
      <c r="H383" s="71" t="s">
        <v>500</v>
      </c>
    </row>
    <row r="384" spans="8:8" ht="15" customHeight="1">
      <c r="H384" s="71" t="s">
        <v>501</v>
      </c>
    </row>
    <row r="385" spans="8:8" ht="15" customHeight="1">
      <c r="H385" s="71" t="s">
        <v>502</v>
      </c>
    </row>
    <row r="386" spans="8:8" ht="15" customHeight="1">
      <c r="H386" s="71" t="s">
        <v>503</v>
      </c>
    </row>
    <row r="387" spans="8:8" ht="15" customHeight="1">
      <c r="H387" s="71" t="s">
        <v>504</v>
      </c>
    </row>
    <row r="388" spans="8:8" ht="15" customHeight="1">
      <c r="H388" s="71" t="s">
        <v>505</v>
      </c>
    </row>
    <row r="389" spans="8:8" ht="15" customHeight="1">
      <c r="H389" s="71" t="s">
        <v>506</v>
      </c>
    </row>
    <row r="390" spans="8:8" ht="15" customHeight="1">
      <c r="H390" s="71" t="s">
        <v>507</v>
      </c>
    </row>
    <row r="391" spans="8:8" ht="15" customHeight="1">
      <c r="H391" s="71" t="s">
        <v>508</v>
      </c>
    </row>
    <row r="392" spans="8:8" ht="15" customHeight="1">
      <c r="H392" s="71" t="s">
        <v>509</v>
      </c>
    </row>
    <row r="393" spans="8:8" ht="15" customHeight="1">
      <c r="H393" s="71" t="s">
        <v>510</v>
      </c>
    </row>
    <row r="394" spans="8:8" ht="15" customHeight="1">
      <c r="H394" s="73"/>
    </row>
    <row r="395" spans="8:8" ht="15" customHeight="1">
      <c r="H395" s="71" t="s">
        <v>321</v>
      </c>
    </row>
    <row r="396" spans="8:8" ht="15" customHeight="1">
      <c r="H396" s="71" t="s">
        <v>322</v>
      </c>
    </row>
    <row r="397" spans="8:8" ht="15" customHeight="1">
      <c r="H397" s="71" t="s">
        <v>323</v>
      </c>
    </row>
    <row r="398" spans="8:8" ht="15" customHeight="1">
      <c r="H398" s="71" t="s">
        <v>511</v>
      </c>
    </row>
    <row r="399" spans="8:8" ht="15" customHeight="1">
      <c r="H399" s="71" t="s">
        <v>324</v>
      </c>
    </row>
    <row r="400" spans="8:8" ht="15" customHeight="1">
      <c r="H400" s="71" t="s">
        <v>325</v>
      </c>
    </row>
    <row r="401" spans="8:8" ht="15" customHeight="1">
      <c r="H401" s="71" t="s">
        <v>326</v>
      </c>
    </row>
    <row r="402" spans="8:8" ht="15" customHeight="1">
      <c r="H402" s="71" t="s">
        <v>327</v>
      </c>
    </row>
    <row r="403" spans="8:8" ht="15" customHeight="1">
      <c r="H403" s="71" t="s">
        <v>328</v>
      </c>
    </row>
    <row r="404" spans="8:8" ht="15" customHeight="1">
      <c r="H404" s="71" t="s">
        <v>329</v>
      </c>
    </row>
    <row r="405" spans="8:8" ht="15" customHeight="1">
      <c r="H405" s="71" t="s">
        <v>330</v>
      </c>
    </row>
    <row r="406" spans="8:8" ht="15" customHeight="1">
      <c r="H406" s="71" t="s">
        <v>331</v>
      </c>
    </row>
    <row r="407" spans="8:8" ht="15" customHeight="1">
      <c r="H407" s="71" t="s">
        <v>332</v>
      </c>
    </row>
    <row r="408" spans="8:8" ht="15" customHeight="1">
      <c r="H408" s="71" t="s">
        <v>333</v>
      </c>
    </row>
    <row r="409" spans="8:8" ht="15" customHeight="1">
      <c r="H409" s="71" t="s">
        <v>334</v>
      </c>
    </row>
    <row r="410" spans="8:8" ht="15" customHeight="1">
      <c r="H410" s="71" t="s">
        <v>512</v>
      </c>
    </row>
    <row r="411" spans="8:8" ht="15" customHeight="1">
      <c r="H411" s="71" t="s">
        <v>513</v>
      </c>
    </row>
    <row r="412" spans="8:8" ht="15" customHeight="1">
      <c r="H412" s="71" t="s">
        <v>514</v>
      </c>
    </row>
    <row r="413" spans="8:8" ht="15" customHeight="1">
      <c r="H413" s="71" t="s">
        <v>515</v>
      </c>
    </row>
    <row r="414" spans="8:8" ht="15" customHeight="1">
      <c r="H414" s="71" t="s">
        <v>516</v>
      </c>
    </row>
    <row r="415" spans="8:8" ht="15" customHeight="1">
      <c r="H415" s="71" t="s">
        <v>517</v>
      </c>
    </row>
    <row r="416" spans="8:8" ht="15" customHeight="1">
      <c r="H416" s="71" t="s">
        <v>518</v>
      </c>
    </row>
    <row r="417" spans="8:8" ht="15" customHeight="1">
      <c r="H417" s="71" t="s">
        <v>519</v>
      </c>
    </row>
    <row r="418" spans="8:8" ht="15" customHeight="1">
      <c r="H418" s="71" t="s">
        <v>520</v>
      </c>
    </row>
    <row r="419" spans="8:8" ht="15" customHeight="1">
      <c r="H419" s="72" t="s">
        <v>521</v>
      </c>
    </row>
    <row r="420" spans="8:8" ht="15" customHeight="1">
      <c r="H420" s="72" t="s">
        <v>522</v>
      </c>
    </row>
    <row r="421" spans="8:8" ht="15" customHeight="1">
      <c r="H421" s="71" t="s">
        <v>523</v>
      </c>
    </row>
    <row r="422" spans="8:8" ht="15" customHeight="1">
      <c r="H422" s="71" t="s">
        <v>524</v>
      </c>
    </row>
    <row r="423" spans="8:8" ht="15" customHeight="1">
      <c r="H423" s="71" t="s">
        <v>525</v>
      </c>
    </row>
    <row r="424" spans="8:8" ht="15" customHeight="1">
      <c r="H424" s="71" t="s">
        <v>526</v>
      </c>
    </row>
    <row r="425" spans="8:8" ht="15" customHeight="1">
      <c r="H425" s="71" t="s">
        <v>527</v>
      </c>
    </row>
    <row r="426" spans="8:8" ht="15" customHeight="1">
      <c r="H426" s="71" t="s">
        <v>528</v>
      </c>
    </row>
    <row r="427" spans="8:8" ht="15" customHeight="1">
      <c r="H427" s="71" t="s">
        <v>529</v>
      </c>
    </row>
    <row r="428" spans="8:8" ht="15" customHeight="1">
      <c r="H428" s="71" t="s">
        <v>530</v>
      </c>
    </row>
    <row r="429" spans="8:8" ht="15" customHeight="1">
      <c r="H429" s="71" t="s">
        <v>531</v>
      </c>
    </row>
    <row r="430" spans="8:8" ht="15" customHeight="1">
      <c r="H430" s="71" t="s">
        <v>532</v>
      </c>
    </row>
    <row r="431" spans="8:8" ht="15" customHeight="1">
      <c r="H431" s="71" t="s">
        <v>533</v>
      </c>
    </row>
    <row r="432" spans="8:8" ht="15" customHeight="1">
      <c r="H432" s="72" t="s">
        <v>534</v>
      </c>
    </row>
    <row r="433" spans="8:8" ht="15" customHeight="1">
      <c r="H433" s="71" t="s">
        <v>535</v>
      </c>
    </row>
    <row r="434" spans="8:8" ht="15" customHeight="1">
      <c r="H434" s="71" t="s">
        <v>536</v>
      </c>
    </row>
    <row r="435" spans="8:8" ht="15" customHeight="1">
      <c r="H435" s="71" t="s">
        <v>537</v>
      </c>
    </row>
    <row r="436" spans="8:8" ht="15" customHeight="1">
      <c r="H436" s="71" t="s">
        <v>538</v>
      </c>
    </row>
    <row r="437" spans="8:8" ht="15" customHeight="1">
      <c r="H437" s="71" t="s">
        <v>539</v>
      </c>
    </row>
    <row r="438" spans="8:8" ht="15" customHeight="1">
      <c r="H438" s="71" t="s">
        <v>540</v>
      </c>
    </row>
    <row r="439" spans="8:8" ht="15" customHeight="1">
      <c r="H439" s="72" t="s">
        <v>541</v>
      </c>
    </row>
    <row r="440" spans="8:8" ht="15" customHeight="1">
      <c r="H440" s="72" t="s">
        <v>542</v>
      </c>
    </row>
    <row r="441" spans="8:8" ht="15" customHeight="1">
      <c r="H441" s="71" t="s">
        <v>543</v>
      </c>
    </row>
    <row r="442" spans="8:8" ht="15" customHeight="1">
      <c r="H442" s="71" t="s">
        <v>544</v>
      </c>
    </row>
    <row r="443" spans="8:8" ht="15" customHeight="1">
      <c r="H443" s="71" t="s">
        <v>545</v>
      </c>
    </row>
    <row r="444" spans="8:8" ht="15" customHeight="1">
      <c r="H444" s="71" t="s">
        <v>546</v>
      </c>
    </row>
    <row r="445" spans="8:8" ht="15" customHeight="1">
      <c r="H445" s="71" t="s">
        <v>547</v>
      </c>
    </row>
    <row r="446" spans="8:8" ht="15" customHeight="1">
      <c r="H446" s="71" t="s">
        <v>548</v>
      </c>
    </row>
    <row r="447" spans="8:8" ht="15" customHeight="1">
      <c r="H447" s="71" t="s">
        <v>549</v>
      </c>
    </row>
    <row r="448" spans="8:8" ht="15" customHeight="1">
      <c r="H448" s="71" t="s">
        <v>550</v>
      </c>
    </row>
    <row r="449" spans="8:8" ht="15" customHeight="1">
      <c r="H449" s="71" t="s">
        <v>551</v>
      </c>
    </row>
    <row r="450" spans="8:8" ht="15" customHeight="1">
      <c r="H450" s="71" t="s">
        <v>552</v>
      </c>
    </row>
    <row r="451" spans="8:8" ht="15" customHeight="1">
      <c r="H451" s="71" t="s">
        <v>553</v>
      </c>
    </row>
    <row r="452" spans="8:8" ht="15" customHeight="1">
      <c r="H452" s="71" t="s">
        <v>554</v>
      </c>
    </row>
    <row r="453" spans="8:8" ht="15" customHeight="1">
      <c r="H453" s="71" t="s">
        <v>555</v>
      </c>
    </row>
    <row r="454" spans="8:8" ht="15" customHeight="1">
      <c r="H454" s="71" t="s">
        <v>556</v>
      </c>
    </row>
    <row r="455" spans="8:8" ht="15" customHeight="1">
      <c r="H455" s="71" t="s">
        <v>557</v>
      </c>
    </row>
    <row r="456" spans="8:8" ht="15" customHeight="1">
      <c r="H456" s="72" t="s">
        <v>558</v>
      </c>
    </row>
    <row r="457" spans="8:8" ht="15" customHeight="1">
      <c r="H457" s="71" t="s">
        <v>559</v>
      </c>
    </row>
    <row r="458" spans="8:8" ht="15" customHeight="1">
      <c r="H458" s="71" t="s">
        <v>560</v>
      </c>
    </row>
    <row r="459" spans="8:8" ht="15" customHeight="1">
      <c r="H459" s="76"/>
    </row>
    <row r="460" spans="8:8" ht="15" customHeight="1">
      <c r="H460" s="71" t="s">
        <v>561</v>
      </c>
    </row>
    <row r="461" spans="8:8" ht="15" customHeight="1">
      <c r="H461" s="71" t="s">
        <v>27</v>
      </c>
    </row>
    <row r="462" spans="8:8" ht="15" customHeight="1">
      <c r="H462" s="71" t="s">
        <v>562</v>
      </c>
    </row>
    <row r="463" spans="8:8" ht="15" customHeight="1">
      <c r="H463" s="72" t="s">
        <v>563</v>
      </c>
    </row>
    <row r="464" spans="8:8" ht="15" customHeight="1">
      <c r="H464" s="71" t="s">
        <v>28</v>
      </c>
    </row>
    <row r="465" spans="8:8" ht="15" customHeight="1">
      <c r="H465" s="71" t="s">
        <v>564</v>
      </c>
    </row>
    <row r="466" spans="8:8" ht="15" customHeight="1">
      <c r="H466" s="71" t="s">
        <v>565</v>
      </c>
    </row>
    <row r="467" spans="8:8" ht="15" customHeight="1">
      <c r="H467" s="71" t="s">
        <v>566</v>
      </c>
    </row>
    <row r="468" spans="8:8" ht="15" customHeight="1">
      <c r="H468" s="71" t="s">
        <v>567</v>
      </c>
    </row>
    <row r="469" spans="8:8" ht="15" customHeight="1">
      <c r="H469" s="71" t="s">
        <v>568</v>
      </c>
    </row>
    <row r="470" spans="8:8" ht="15" customHeight="1">
      <c r="H470" s="71" t="s">
        <v>569</v>
      </c>
    </row>
    <row r="471" spans="8:8" ht="15" customHeight="1">
      <c r="H471" s="71" t="s">
        <v>570</v>
      </c>
    </row>
    <row r="472" spans="8:8" ht="15" customHeight="1">
      <c r="H472" s="71" t="s">
        <v>571</v>
      </c>
    </row>
    <row r="473" spans="8:8" ht="15" customHeight="1">
      <c r="H473" s="71" t="s">
        <v>572</v>
      </c>
    </row>
    <row r="474" spans="8:8" ht="15" customHeight="1">
      <c r="H474" s="71" t="s">
        <v>573</v>
      </c>
    </row>
    <row r="475" spans="8:8" ht="15" customHeight="1">
      <c r="H475" s="72" t="s">
        <v>574</v>
      </c>
    </row>
    <row r="476" spans="8:8" ht="15" customHeight="1">
      <c r="H476" s="71" t="s">
        <v>575</v>
      </c>
    </row>
    <row r="477" spans="8:8" ht="15" customHeight="1">
      <c r="H477" s="71" t="s">
        <v>576</v>
      </c>
    </row>
    <row r="478" spans="8:8" ht="15" customHeight="1">
      <c r="H478" s="71" t="s">
        <v>577</v>
      </c>
    </row>
    <row r="479" spans="8:8" ht="15" customHeight="1">
      <c r="H479" s="71" t="s">
        <v>578</v>
      </c>
    </row>
    <row r="480" spans="8:8" ht="15" customHeight="1">
      <c r="H480" s="71" t="s">
        <v>579</v>
      </c>
    </row>
    <row r="481" spans="8:8" ht="15" customHeight="1">
      <c r="H481" s="71" t="s">
        <v>580</v>
      </c>
    </row>
    <row r="482" spans="8:8" ht="15" customHeight="1">
      <c r="H482" s="71" t="s">
        <v>581</v>
      </c>
    </row>
    <row r="483" spans="8:8" ht="15" customHeight="1">
      <c r="H483" s="71" t="s">
        <v>582</v>
      </c>
    </row>
    <row r="484" spans="8:8" ht="15" customHeight="1">
      <c r="H484" s="71" t="s">
        <v>583</v>
      </c>
    </row>
    <row r="485" spans="8:8" ht="15" customHeight="1">
      <c r="H485" s="71" t="s">
        <v>584</v>
      </c>
    </row>
    <row r="486" spans="8:8" ht="15" customHeight="1">
      <c r="H486" s="71" t="s">
        <v>29</v>
      </c>
    </row>
    <row r="487" spans="8:8" ht="15" customHeight="1">
      <c r="H487" s="71" t="s">
        <v>585</v>
      </c>
    </row>
    <row r="488" spans="8:8" ht="15" customHeight="1">
      <c r="H488" s="71" t="s">
        <v>586</v>
      </c>
    </row>
    <row r="489" spans="8:8" ht="15" customHeight="1">
      <c r="H489" s="71" t="s">
        <v>587</v>
      </c>
    </row>
    <row r="490" spans="8:8" ht="15" customHeight="1">
      <c r="H490" s="71" t="s">
        <v>588</v>
      </c>
    </row>
    <row r="491" spans="8:8" ht="15" customHeight="1">
      <c r="H491" s="71" t="s">
        <v>589</v>
      </c>
    </row>
    <row r="492" spans="8:8" ht="15" customHeight="1">
      <c r="H492" s="71" t="s">
        <v>590</v>
      </c>
    </row>
    <row r="493" spans="8:8" ht="15" customHeight="1">
      <c r="H493" s="71" t="s">
        <v>591</v>
      </c>
    </row>
    <row r="494" spans="8:8" ht="15" customHeight="1">
      <c r="H494" s="71" t="s">
        <v>592</v>
      </c>
    </row>
    <row r="495" spans="8:8" ht="15" customHeight="1">
      <c r="H495" s="71" t="s">
        <v>593</v>
      </c>
    </row>
    <row r="496" spans="8:8" ht="15" customHeight="1">
      <c r="H496" s="71" t="s">
        <v>594</v>
      </c>
    </row>
    <row r="497" spans="8:8" ht="15" customHeight="1">
      <c r="H497" s="71" t="s">
        <v>595</v>
      </c>
    </row>
    <row r="498" spans="8:8" ht="15" customHeight="1">
      <c r="H498" s="71" t="s">
        <v>596</v>
      </c>
    </row>
    <row r="499" spans="8:8" ht="15" customHeight="1">
      <c r="H499" s="71" t="s">
        <v>597</v>
      </c>
    </row>
    <row r="500" spans="8:8" ht="15" customHeight="1">
      <c r="H500" s="71" t="s">
        <v>598</v>
      </c>
    </row>
    <row r="501" spans="8:8" ht="15" customHeight="1">
      <c r="H501" s="71" t="s">
        <v>599</v>
      </c>
    </row>
    <row r="502" spans="8:8" ht="15" customHeight="1">
      <c r="H502" s="71" t="s">
        <v>600</v>
      </c>
    </row>
    <row r="503" spans="8:8" ht="15" customHeight="1">
      <c r="H503" s="71" t="s">
        <v>601</v>
      </c>
    </row>
    <row r="504" spans="8:8" ht="15" customHeight="1">
      <c r="H504" s="71" t="s">
        <v>602</v>
      </c>
    </row>
    <row r="505" spans="8:8" ht="15" customHeight="1">
      <c r="H505" s="71" t="s">
        <v>603</v>
      </c>
    </row>
    <row r="506" spans="8:8" ht="15" customHeight="1">
      <c r="H506" s="71" t="s">
        <v>604</v>
      </c>
    </row>
    <row r="507" spans="8:8" ht="15" customHeight="1">
      <c r="H507" s="71" t="s">
        <v>605</v>
      </c>
    </row>
    <row r="508" spans="8:8" ht="15" customHeight="1">
      <c r="H508" s="71" t="s">
        <v>606</v>
      </c>
    </row>
    <row r="509" spans="8:8" ht="15" customHeight="1">
      <c r="H509" s="71" t="s">
        <v>607</v>
      </c>
    </row>
    <row r="510" spans="8:8" ht="15" customHeight="1">
      <c r="H510" s="71" t="s">
        <v>608</v>
      </c>
    </row>
    <row r="511" spans="8:8" ht="15" customHeight="1">
      <c r="H511" s="71" t="s">
        <v>609</v>
      </c>
    </row>
    <row r="512" spans="8:8" ht="15" customHeight="1">
      <c r="H512" s="71" t="s">
        <v>610</v>
      </c>
    </row>
    <row r="513" spans="8:8" ht="15" customHeight="1">
      <c r="H513" s="71" t="s">
        <v>611</v>
      </c>
    </row>
    <row r="514" spans="8:8" ht="15" customHeight="1">
      <c r="H514" s="71" t="s">
        <v>612</v>
      </c>
    </row>
    <row r="515" spans="8:8" ht="15" customHeight="1">
      <c r="H515" s="71" t="s">
        <v>613</v>
      </c>
    </row>
    <row r="516" spans="8:8" ht="15" customHeight="1">
      <c r="H516" s="71" t="s">
        <v>614</v>
      </c>
    </row>
    <row r="517" spans="8:8" ht="15" customHeight="1">
      <c r="H517" s="71" t="s">
        <v>615</v>
      </c>
    </row>
    <row r="518" spans="8:8" ht="15" customHeight="1">
      <c r="H518" s="71" t="s">
        <v>616</v>
      </c>
    </row>
    <row r="519" spans="8:8" ht="15" customHeight="1">
      <c r="H519" s="71" t="s">
        <v>617</v>
      </c>
    </row>
    <row r="520" spans="8:8" ht="15" customHeight="1">
      <c r="H520" s="71" t="s">
        <v>618</v>
      </c>
    </row>
    <row r="521" spans="8:8" ht="15" customHeight="1">
      <c r="H521" s="71" t="s">
        <v>619</v>
      </c>
    </row>
    <row r="522" spans="8:8" ht="15" customHeight="1">
      <c r="H522" s="76"/>
    </row>
    <row r="523" spans="8:8" ht="15" customHeight="1">
      <c r="H523" s="75" t="s">
        <v>620</v>
      </c>
    </row>
    <row r="524" spans="8:8" ht="15" customHeight="1">
      <c r="H524" s="75" t="s">
        <v>621</v>
      </c>
    </row>
    <row r="525" spans="8:8" ht="15" customHeight="1">
      <c r="H525" s="75" t="s">
        <v>622</v>
      </c>
    </row>
    <row r="526" spans="8:8" ht="15" customHeight="1">
      <c r="H526" s="75" t="s">
        <v>623</v>
      </c>
    </row>
    <row r="527" spans="8:8" ht="15" customHeight="1">
      <c r="H527" s="75" t="s">
        <v>624</v>
      </c>
    </row>
    <row r="528" spans="8:8" ht="15" customHeight="1">
      <c r="H528" s="75" t="s">
        <v>625</v>
      </c>
    </row>
    <row r="529" spans="8:8" ht="15" customHeight="1">
      <c r="H529" s="75" t="s">
        <v>626</v>
      </c>
    </row>
    <row r="530" spans="8:8" ht="15" customHeight="1">
      <c r="H530" s="75" t="s">
        <v>627</v>
      </c>
    </row>
    <row r="531" spans="8:8" ht="15" customHeight="1">
      <c r="H531" s="75" t="s">
        <v>628</v>
      </c>
    </row>
    <row r="532" spans="8:8" ht="15" customHeight="1">
      <c r="H532" s="75" t="s">
        <v>629</v>
      </c>
    </row>
    <row r="533" spans="8:8" ht="15" customHeight="1">
      <c r="H533" s="75" t="s">
        <v>630</v>
      </c>
    </row>
    <row r="534" spans="8:8" ht="15" customHeight="1">
      <c r="H534" s="75" t="s">
        <v>631</v>
      </c>
    </row>
    <row r="535" spans="8:8" ht="15" customHeight="1">
      <c r="H535" s="75" t="s">
        <v>632</v>
      </c>
    </row>
    <row r="536" spans="8:8" ht="15" customHeight="1">
      <c r="H536" s="75" t="s">
        <v>633</v>
      </c>
    </row>
    <row r="537" spans="8:8" ht="15" customHeight="1">
      <c r="H537" s="75" t="s">
        <v>634</v>
      </c>
    </row>
    <row r="538" spans="8:8" ht="15" customHeight="1">
      <c r="H538" s="71" t="s">
        <v>635</v>
      </c>
    </row>
    <row r="539" spans="8:8" ht="15" customHeight="1">
      <c r="H539" s="71" t="s">
        <v>636</v>
      </c>
    </row>
    <row r="540" spans="8:8" ht="15" customHeight="1">
      <c r="H540" s="71" t="s">
        <v>637</v>
      </c>
    </row>
    <row r="541" spans="8:8" ht="15" customHeight="1">
      <c r="H541" s="71" t="s">
        <v>638</v>
      </c>
    </row>
    <row r="542" spans="8:8" ht="15" customHeight="1">
      <c r="H542" s="73"/>
    </row>
    <row r="543" spans="8:8" ht="15" customHeight="1">
      <c r="H543" s="75" t="s">
        <v>639</v>
      </c>
    </row>
    <row r="544" spans="8:8" ht="15" customHeight="1">
      <c r="H544" s="75" t="s">
        <v>640</v>
      </c>
    </row>
    <row r="545" spans="8:8" ht="15" customHeight="1">
      <c r="H545" s="75" t="s">
        <v>641</v>
      </c>
    </row>
    <row r="546" spans="8:8" ht="15" customHeight="1">
      <c r="H546" s="75" t="s">
        <v>642</v>
      </c>
    </row>
    <row r="547" spans="8:8" ht="15" customHeight="1">
      <c r="H547" s="75" t="s">
        <v>643</v>
      </c>
    </row>
    <row r="548" spans="8:8" ht="15" customHeight="1">
      <c r="H548" s="73"/>
    </row>
    <row r="549" spans="8:8" ht="15" customHeight="1">
      <c r="H549" s="75" t="s">
        <v>644</v>
      </c>
    </row>
    <row r="550" spans="8:8" ht="15" customHeight="1">
      <c r="H550" s="75" t="s">
        <v>645</v>
      </c>
    </row>
    <row r="551" spans="8:8" ht="15" customHeight="1">
      <c r="H551" s="73"/>
    </row>
    <row r="552" spans="8:8" ht="15" customHeight="1">
      <c r="H552" s="71" t="s">
        <v>646</v>
      </c>
    </row>
    <row r="553" spans="8:8" ht="15" customHeight="1">
      <c r="H553" s="71" t="s">
        <v>647</v>
      </c>
    </row>
    <row r="554" spans="8:8" ht="15" customHeight="1">
      <c r="H554" s="73"/>
    </row>
    <row r="555" spans="8:8" ht="15" customHeight="1">
      <c r="H555" s="71" t="s">
        <v>648</v>
      </c>
    </row>
    <row r="556" spans="8:8" ht="15" customHeight="1">
      <c r="H556" s="71" t="s">
        <v>649</v>
      </c>
    </row>
    <row r="557" spans="8:8" ht="15" customHeight="1">
      <c r="H557" s="71" t="s">
        <v>650</v>
      </c>
    </row>
    <row r="558" spans="8:8" ht="15" customHeight="1">
      <c r="H558" s="73"/>
    </row>
    <row r="559" spans="8:8" ht="15" customHeight="1">
      <c r="H559" s="71" t="s">
        <v>651</v>
      </c>
    </row>
    <row r="560" spans="8:8" ht="15" customHeight="1">
      <c r="H560" s="71" t="s">
        <v>652</v>
      </c>
    </row>
    <row r="561" spans="8:8" ht="15" customHeight="1">
      <c r="H561" s="71" t="s">
        <v>653</v>
      </c>
    </row>
    <row r="562" spans="8:8" ht="15" customHeight="1">
      <c r="H562" s="71" t="s">
        <v>654</v>
      </c>
    </row>
    <row r="563" spans="8:8" ht="15" customHeight="1">
      <c r="H563" s="71" t="s">
        <v>655</v>
      </c>
    </row>
    <row r="564" spans="8:8" ht="15" customHeight="1">
      <c r="H564" s="71" t="s">
        <v>656</v>
      </c>
    </row>
    <row r="565" spans="8:8" ht="15" customHeight="1">
      <c r="H565" s="71" t="s">
        <v>657</v>
      </c>
    </row>
    <row r="566" spans="8:8" ht="15" customHeight="1">
      <c r="H566" s="71" t="s">
        <v>658</v>
      </c>
    </row>
    <row r="567" spans="8:8" ht="15" customHeight="1">
      <c r="H567" s="71" t="s">
        <v>659</v>
      </c>
    </row>
    <row r="568" spans="8:8" ht="15" customHeight="1">
      <c r="H568" s="73"/>
    </row>
    <row r="569" spans="8:8" ht="15" customHeight="1">
      <c r="H569" s="71" t="s">
        <v>660</v>
      </c>
    </row>
    <row r="570" spans="8:8" ht="15" customHeight="1">
      <c r="H570" s="71" t="s">
        <v>661</v>
      </c>
    </row>
    <row r="571" spans="8:8" ht="15" customHeight="1">
      <c r="H571" s="71" t="s">
        <v>662</v>
      </c>
    </row>
    <row r="572" spans="8:8" ht="15" customHeight="1">
      <c r="H572" s="71" t="s">
        <v>663</v>
      </c>
    </row>
    <row r="573" spans="8:8" ht="15" customHeight="1">
      <c r="H573" s="72" t="s">
        <v>664</v>
      </c>
    </row>
    <row r="574" spans="8:8" ht="15" customHeight="1">
      <c r="H574" s="71" t="s">
        <v>665</v>
      </c>
    </row>
    <row r="575" spans="8:8" ht="15" customHeight="1">
      <c r="H575" s="72" t="s">
        <v>666</v>
      </c>
    </row>
    <row r="576" spans="8:8" ht="15" customHeight="1">
      <c r="H576" s="71" t="s">
        <v>667</v>
      </c>
    </row>
    <row r="577" spans="8:8" ht="15" customHeight="1">
      <c r="H577" s="71" t="s">
        <v>668</v>
      </c>
    </row>
    <row r="578" spans="8:8" ht="15" customHeight="1">
      <c r="H578" s="71" t="s">
        <v>669</v>
      </c>
    </row>
    <row r="579" spans="8:8" ht="15" customHeight="1">
      <c r="H579" s="71" t="s">
        <v>670</v>
      </c>
    </row>
    <row r="580" spans="8:8" ht="15" customHeight="1">
      <c r="H580" s="71" t="s">
        <v>671</v>
      </c>
    </row>
    <row r="581" spans="8:8" ht="15" customHeight="1">
      <c r="H581" s="71" t="s">
        <v>672</v>
      </c>
    </row>
    <row r="582" spans="8:8" ht="15" customHeight="1">
      <c r="H582" s="71" t="s">
        <v>673</v>
      </c>
    </row>
    <row r="583" spans="8:8" ht="15" customHeight="1">
      <c r="H583" s="71" t="s">
        <v>674</v>
      </c>
    </row>
    <row r="584" spans="8:8" ht="15" customHeight="1">
      <c r="H584" s="71" t="s">
        <v>675</v>
      </c>
    </row>
    <row r="585" spans="8:8" ht="15" customHeight="1">
      <c r="H585" s="71" t="s">
        <v>676</v>
      </c>
    </row>
    <row r="586" spans="8:8" ht="15" customHeight="1">
      <c r="H586" s="71" t="s">
        <v>677</v>
      </c>
    </row>
    <row r="587" spans="8:8" ht="15" customHeight="1">
      <c r="H587" s="76"/>
    </row>
    <row r="588" spans="8:8" ht="15" customHeight="1">
      <c r="H588" s="71" t="s">
        <v>678</v>
      </c>
    </row>
    <row r="589" spans="8:8" ht="15" customHeight="1">
      <c r="H589" s="71" t="s">
        <v>679</v>
      </c>
    </row>
    <row r="590" spans="8:8" ht="15" customHeight="1">
      <c r="H590" s="71" t="s">
        <v>680</v>
      </c>
    </row>
    <row r="591" spans="8:8" ht="15" customHeight="1">
      <c r="H591" s="73"/>
    </row>
    <row r="592" spans="8:8" ht="15" customHeight="1">
      <c r="H592" s="71" t="s">
        <v>681</v>
      </c>
    </row>
    <row r="593" spans="8:8" ht="15" customHeight="1">
      <c r="H593" s="71" t="s">
        <v>682</v>
      </c>
    </row>
    <row r="594" spans="8:8" ht="15" customHeight="1">
      <c r="H594" s="71" t="s">
        <v>683</v>
      </c>
    </row>
    <row r="595" spans="8:8" ht="15" customHeight="1">
      <c r="H595" s="71" t="s">
        <v>684</v>
      </c>
    </row>
    <row r="596" spans="8:8" ht="15" customHeight="1">
      <c r="H596" s="71" t="s">
        <v>685</v>
      </c>
    </row>
    <row r="597" spans="8:8" ht="15" customHeight="1">
      <c r="H597" s="71" t="s">
        <v>686</v>
      </c>
    </row>
    <row r="598" spans="8:8" ht="15" customHeight="1">
      <c r="H598" s="71" t="s">
        <v>687</v>
      </c>
    </row>
    <row r="599" spans="8:8" ht="15" customHeight="1">
      <c r="H599" s="71" t="s">
        <v>688</v>
      </c>
    </row>
    <row r="600" spans="8:8" ht="15" customHeight="1">
      <c r="H600" s="71" t="s">
        <v>689</v>
      </c>
    </row>
    <row r="601" spans="8:8" ht="15" customHeight="1">
      <c r="H601" s="71" t="s">
        <v>690</v>
      </c>
    </row>
    <row r="602" spans="8:8" ht="15" customHeight="1">
      <c r="H602" s="71" t="s">
        <v>691</v>
      </c>
    </row>
    <row r="603" spans="8:8" ht="15" customHeight="1">
      <c r="H603" s="71" t="s">
        <v>692</v>
      </c>
    </row>
    <row r="604" spans="8:8" ht="15" customHeight="1">
      <c r="H604" s="71" t="s">
        <v>693</v>
      </c>
    </row>
    <row r="605" spans="8:8" ht="15" customHeight="1">
      <c r="H605" s="71" t="s">
        <v>694</v>
      </c>
    </row>
    <row r="606" spans="8:8" ht="15" customHeight="1">
      <c r="H606" s="71" t="s">
        <v>695</v>
      </c>
    </row>
    <row r="607" spans="8:8" ht="15" customHeight="1">
      <c r="H607" s="71" t="s">
        <v>696</v>
      </c>
    </row>
    <row r="608" spans="8:8" ht="15" customHeight="1">
      <c r="H608" s="71" t="s">
        <v>697</v>
      </c>
    </row>
    <row r="609" spans="8:8" ht="15" customHeight="1">
      <c r="H609" s="71" t="s">
        <v>698</v>
      </c>
    </row>
    <row r="610" spans="8:8" ht="15" customHeight="1">
      <c r="H610" s="71" t="s">
        <v>699</v>
      </c>
    </row>
    <row r="611" spans="8:8" ht="15" customHeight="1">
      <c r="H611" s="71" t="s">
        <v>700</v>
      </c>
    </row>
    <row r="612" spans="8:8" ht="15" customHeight="1">
      <c r="H612" s="71" t="s">
        <v>701</v>
      </c>
    </row>
    <row r="613" spans="8:8" ht="15" customHeight="1">
      <c r="H613" s="71" t="s">
        <v>702</v>
      </c>
    </row>
    <row r="614" spans="8:8" ht="15" customHeight="1">
      <c r="H614" s="71" t="s">
        <v>703</v>
      </c>
    </row>
    <row r="615" spans="8:8" ht="15" customHeight="1">
      <c r="H615" s="71" t="s">
        <v>704</v>
      </c>
    </row>
    <row r="616" spans="8:8" ht="15" customHeight="1">
      <c r="H616" s="71" t="s">
        <v>705</v>
      </c>
    </row>
    <row r="617" spans="8:8" ht="15" customHeight="1">
      <c r="H617" s="71" t="s">
        <v>706</v>
      </c>
    </row>
    <row r="618" spans="8:8" ht="15" customHeight="1">
      <c r="H618" s="71" t="s">
        <v>707</v>
      </c>
    </row>
    <row r="619" spans="8:8" ht="15" customHeight="1">
      <c r="H619" s="71" t="s">
        <v>708</v>
      </c>
    </row>
    <row r="620" spans="8:8" ht="15" customHeight="1">
      <c r="H620" s="71" t="s">
        <v>709</v>
      </c>
    </row>
    <row r="621" spans="8:8" ht="15" customHeight="1">
      <c r="H621" s="71" t="s">
        <v>710</v>
      </c>
    </row>
    <row r="622" spans="8:8" ht="15" customHeight="1">
      <c r="H622" s="82" t="s">
        <v>711</v>
      </c>
    </row>
    <row r="623" spans="8:8" ht="15" customHeight="1">
      <c r="H623" s="82" t="s">
        <v>712</v>
      </c>
    </row>
    <row r="624" spans="8:8" ht="15" customHeight="1">
      <c r="H624" s="82" t="s">
        <v>713</v>
      </c>
    </row>
    <row r="625" spans="8:8" ht="15" customHeight="1">
      <c r="H625" s="71" t="s">
        <v>714</v>
      </c>
    </row>
    <row r="626" spans="8:8" ht="15" customHeight="1">
      <c r="H626" s="71" t="s">
        <v>715</v>
      </c>
    </row>
    <row r="627" spans="8:8" ht="15" customHeight="1">
      <c r="H627" s="71" t="s">
        <v>716</v>
      </c>
    </row>
    <row r="628" spans="8:8" ht="15" customHeight="1">
      <c r="H628" s="71" t="s">
        <v>717</v>
      </c>
    </row>
    <row r="629" spans="8:8" ht="15" customHeight="1">
      <c r="H629" s="71" t="s">
        <v>718</v>
      </c>
    </row>
    <row r="630" spans="8:8" ht="15" customHeight="1">
      <c r="H630" s="71" t="s">
        <v>719</v>
      </c>
    </row>
    <row r="631" spans="8:8" ht="15" customHeight="1">
      <c r="H631" s="72" t="s">
        <v>720</v>
      </c>
    </row>
    <row r="632" spans="8:8" ht="15" customHeight="1">
      <c r="H632" s="71" t="s">
        <v>721</v>
      </c>
    </row>
    <row r="633" spans="8:8" ht="15" customHeight="1">
      <c r="H633" s="71" t="s">
        <v>722</v>
      </c>
    </row>
    <row r="634" spans="8:8" ht="15" customHeight="1">
      <c r="H634" s="71" t="s">
        <v>723</v>
      </c>
    </row>
    <row r="635" spans="8:8" ht="15" customHeight="1">
      <c r="H635" s="71" t="s">
        <v>724</v>
      </c>
    </row>
    <row r="636" spans="8:8" ht="15" customHeight="1">
      <c r="H636" s="71" t="s">
        <v>725</v>
      </c>
    </row>
    <row r="637" spans="8:8" ht="15" customHeight="1">
      <c r="H637" s="71" t="s">
        <v>726</v>
      </c>
    </row>
    <row r="638" spans="8:8" ht="15" customHeight="1">
      <c r="H638" s="71" t="s">
        <v>727</v>
      </c>
    </row>
    <row r="639" spans="8:8" ht="15" customHeight="1">
      <c r="H639" s="71" t="s">
        <v>728</v>
      </c>
    </row>
    <row r="640" spans="8:8" ht="15" customHeight="1">
      <c r="H640" s="71" t="s">
        <v>729</v>
      </c>
    </row>
    <row r="641" spans="8:8" ht="15" customHeight="1">
      <c r="H641" s="71" t="s">
        <v>730</v>
      </c>
    </row>
    <row r="642" spans="8:8" ht="15" customHeight="1">
      <c r="H642" s="71" t="s">
        <v>731</v>
      </c>
    </row>
    <row r="643" spans="8:8" ht="15" customHeight="1">
      <c r="H643" s="71" t="s">
        <v>732</v>
      </c>
    </row>
    <row r="644" spans="8:8" ht="15" customHeight="1">
      <c r="H644" s="71" t="s">
        <v>733</v>
      </c>
    </row>
    <row r="645" spans="8:8" ht="15" customHeight="1">
      <c r="H645" s="71" t="s">
        <v>734</v>
      </c>
    </row>
    <row r="646" spans="8:8" ht="15" customHeight="1">
      <c r="H646" s="71" t="s">
        <v>735</v>
      </c>
    </row>
    <row r="647" spans="8:8" ht="15" customHeight="1">
      <c r="H647" s="71" t="s">
        <v>736</v>
      </c>
    </row>
    <row r="648" spans="8:8" ht="15" customHeight="1">
      <c r="H648" s="71" t="s">
        <v>737</v>
      </c>
    </row>
    <row r="649" spans="8:8" ht="15" customHeight="1">
      <c r="H649" s="71" t="s">
        <v>738</v>
      </c>
    </row>
    <row r="650" spans="8:8" ht="15" customHeight="1">
      <c r="H650" s="71" t="s">
        <v>739</v>
      </c>
    </row>
    <row r="651" spans="8:8" ht="15" customHeight="1">
      <c r="H651" s="72" t="s">
        <v>740</v>
      </c>
    </row>
    <row r="652" spans="8:8" ht="15" customHeight="1">
      <c r="H652" s="71" t="s">
        <v>741</v>
      </c>
    </row>
    <row r="653" spans="8:8" ht="15" customHeight="1">
      <c r="H653" s="71" t="s">
        <v>742</v>
      </c>
    </row>
    <row r="654" spans="8:8" ht="15" customHeight="1">
      <c r="H654" s="72" t="s">
        <v>743</v>
      </c>
    </row>
    <row r="655" spans="8:8" ht="15" customHeight="1">
      <c r="H655" s="71" t="s">
        <v>744</v>
      </c>
    </row>
    <row r="656" spans="8:8" ht="15" customHeight="1">
      <c r="H656" s="71" t="s">
        <v>745</v>
      </c>
    </row>
    <row r="657" spans="8:8" ht="15" customHeight="1">
      <c r="H657" s="71" t="s">
        <v>746</v>
      </c>
    </row>
    <row r="658" spans="8:8" ht="15" customHeight="1">
      <c r="H658" s="72" t="s">
        <v>747</v>
      </c>
    </row>
    <row r="659" spans="8:8" ht="15" customHeight="1">
      <c r="H659" s="71" t="s">
        <v>748</v>
      </c>
    </row>
    <row r="660" spans="8:8" ht="15" customHeight="1">
      <c r="H660" s="71" t="s">
        <v>749</v>
      </c>
    </row>
    <row r="661" spans="8:8" ht="15" customHeight="1">
      <c r="H661" s="71" t="s">
        <v>750</v>
      </c>
    </row>
    <row r="662" spans="8:8" ht="15" customHeight="1">
      <c r="H662" s="71" t="s">
        <v>751</v>
      </c>
    </row>
    <row r="663" spans="8:8" ht="15" customHeight="1">
      <c r="H663" s="71" t="s">
        <v>752</v>
      </c>
    </row>
    <row r="664" spans="8:8" ht="15" customHeight="1">
      <c r="H664" s="71" t="s">
        <v>753</v>
      </c>
    </row>
    <row r="665" spans="8:8" ht="15" customHeight="1">
      <c r="H665" s="71" t="s">
        <v>754</v>
      </c>
    </row>
    <row r="666" spans="8:8" ht="15" customHeight="1">
      <c r="H666" s="71" t="s">
        <v>755</v>
      </c>
    </row>
    <row r="667" spans="8:8" ht="15" customHeight="1">
      <c r="H667" s="71" t="s">
        <v>756</v>
      </c>
    </row>
    <row r="668" spans="8:8" ht="15" customHeight="1">
      <c r="H668" s="71" t="s">
        <v>757</v>
      </c>
    </row>
    <row r="669" spans="8:8" ht="15" customHeight="1">
      <c r="H669" s="71" t="s">
        <v>758</v>
      </c>
    </row>
    <row r="670" spans="8:8" ht="15" customHeight="1">
      <c r="H670" s="71" t="s">
        <v>759</v>
      </c>
    </row>
    <row r="671" spans="8:8" ht="15" customHeight="1">
      <c r="H671" s="71" t="s">
        <v>760</v>
      </c>
    </row>
    <row r="672" spans="8:8" ht="15" customHeight="1">
      <c r="H672" s="71" t="s">
        <v>761</v>
      </c>
    </row>
    <row r="673" spans="8:8" ht="15" customHeight="1">
      <c r="H673" s="71" t="s">
        <v>762</v>
      </c>
    </row>
    <row r="674" spans="8:8" ht="15" customHeight="1">
      <c r="H674" s="71" t="s">
        <v>763</v>
      </c>
    </row>
    <row r="675" spans="8:8" ht="15" customHeight="1">
      <c r="H675" s="71" t="s">
        <v>764</v>
      </c>
    </row>
    <row r="676" spans="8:8" ht="15" customHeight="1">
      <c r="H676" s="71" t="s">
        <v>765</v>
      </c>
    </row>
    <row r="677" spans="8:8" ht="15" customHeight="1">
      <c r="H677" s="71" t="s">
        <v>766</v>
      </c>
    </row>
    <row r="678" spans="8:8" ht="15" customHeight="1">
      <c r="H678" s="71" t="s">
        <v>767</v>
      </c>
    </row>
    <row r="679" spans="8:8" ht="15" customHeight="1">
      <c r="H679" s="71" t="s">
        <v>768</v>
      </c>
    </row>
    <row r="680" spans="8:8" ht="15" customHeight="1">
      <c r="H680" s="71" t="s">
        <v>769</v>
      </c>
    </row>
    <row r="681" spans="8:8" ht="15" customHeight="1">
      <c r="H681" s="71" t="s">
        <v>770</v>
      </c>
    </row>
    <row r="682" spans="8:8" ht="15" customHeight="1">
      <c r="H682" s="71" t="s">
        <v>771</v>
      </c>
    </row>
    <row r="683" spans="8:8" ht="15" customHeight="1">
      <c r="H683" s="71" t="s">
        <v>772</v>
      </c>
    </row>
    <row r="684" spans="8:8" ht="15" customHeight="1">
      <c r="H684" s="71" t="s">
        <v>773</v>
      </c>
    </row>
    <row r="685" spans="8:8" ht="15" customHeight="1">
      <c r="H685" s="71" t="s">
        <v>774</v>
      </c>
    </row>
    <row r="686" spans="8:8" ht="15" customHeight="1">
      <c r="H686" s="71" t="s">
        <v>775</v>
      </c>
    </row>
    <row r="687" spans="8:8" ht="15" customHeight="1">
      <c r="H687" s="71" t="s">
        <v>776</v>
      </c>
    </row>
    <row r="688" spans="8:8" ht="15" customHeight="1">
      <c r="H688" s="71" t="s">
        <v>777</v>
      </c>
    </row>
    <row r="689" spans="8:8" ht="15" customHeight="1">
      <c r="H689" s="71" t="s">
        <v>778</v>
      </c>
    </row>
    <row r="690" spans="8:8" ht="15" customHeight="1">
      <c r="H690" s="71" t="s">
        <v>779</v>
      </c>
    </row>
    <row r="691" spans="8:8" ht="15" customHeight="1">
      <c r="H691" s="71" t="s">
        <v>780</v>
      </c>
    </row>
    <row r="692" spans="8:8" ht="15" customHeight="1">
      <c r="H692" s="71" t="s">
        <v>781</v>
      </c>
    </row>
    <row r="693" spans="8:8" ht="15" customHeight="1">
      <c r="H693" s="71" t="s">
        <v>782</v>
      </c>
    </row>
    <row r="694" spans="8:8" ht="15" customHeight="1">
      <c r="H694" s="71" t="s">
        <v>783</v>
      </c>
    </row>
    <row r="695" spans="8:8" ht="15" customHeight="1">
      <c r="H695" s="71" t="s">
        <v>784</v>
      </c>
    </row>
    <row r="696" spans="8:8" ht="15" customHeight="1">
      <c r="H696" s="71" t="s">
        <v>785</v>
      </c>
    </row>
    <row r="697" spans="8:8" ht="15" customHeight="1">
      <c r="H697" s="71" t="s">
        <v>786</v>
      </c>
    </row>
    <row r="698" spans="8:8" ht="15" customHeight="1">
      <c r="H698" s="71" t="s">
        <v>787</v>
      </c>
    </row>
    <row r="699" spans="8:8" ht="15" customHeight="1">
      <c r="H699" s="71" t="s">
        <v>788</v>
      </c>
    </row>
    <row r="700" spans="8:8" ht="15" customHeight="1">
      <c r="H700" s="71" t="s">
        <v>789</v>
      </c>
    </row>
    <row r="701" spans="8:8" ht="15" customHeight="1">
      <c r="H701" s="71" t="s">
        <v>790</v>
      </c>
    </row>
    <row r="702" spans="8:8" ht="15" customHeight="1">
      <c r="H702" s="71" t="s">
        <v>791</v>
      </c>
    </row>
    <row r="703" spans="8:8" ht="15" customHeight="1">
      <c r="H703" s="71" t="s">
        <v>792</v>
      </c>
    </row>
    <row r="704" spans="8:8" ht="15" customHeight="1">
      <c r="H704" s="71" t="s">
        <v>793</v>
      </c>
    </row>
    <row r="705" spans="8:8" ht="15" customHeight="1">
      <c r="H705" s="71" t="s">
        <v>794</v>
      </c>
    </row>
    <row r="706" spans="8:8" ht="15" customHeight="1">
      <c r="H706" s="71" t="s">
        <v>795</v>
      </c>
    </row>
    <row r="707" spans="8:8" ht="15" customHeight="1">
      <c r="H707" s="71" t="s">
        <v>796</v>
      </c>
    </row>
    <row r="708" spans="8:8" ht="15" customHeight="1">
      <c r="H708" s="71" t="s">
        <v>797</v>
      </c>
    </row>
    <row r="709" spans="8:8" ht="15" customHeight="1">
      <c r="H709" s="71" t="s">
        <v>798</v>
      </c>
    </row>
    <row r="710" spans="8:8" ht="15" customHeight="1">
      <c r="H710" s="71" t="s">
        <v>799</v>
      </c>
    </row>
    <row r="711" spans="8:8" ht="15" customHeight="1">
      <c r="H711" s="71" t="s">
        <v>800</v>
      </c>
    </row>
    <row r="712" spans="8:8" ht="15" customHeight="1">
      <c r="H712" s="71" t="s">
        <v>801</v>
      </c>
    </row>
    <row r="713" spans="8:8" ht="15" customHeight="1">
      <c r="H713" s="71" t="s">
        <v>802</v>
      </c>
    </row>
    <row r="714" spans="8:8" ht="15" customHeight="1">
      <c r="H714" s="71" t="s">
        <v>803</v>
      </c>
    </row>
    <row r="715" spans="8:8" ht="15" customHeight="1">
      <c r="H715" s="71" t="s">
        <v>804</v>
      </c>
    </row>
    <row r="716" spans="8:8" ht="15" customHeight="1">
      <c r="H716" s="71" t="s">
        <v>805</v>
      </c>
    </row>
    <row r="717" spans="8:8" ht="15" customHeight="1">
      <c r="H717" s="71" t="s">
        <v>806</v>
      </c>
    </row>
    <row r="718" spans="8:8" ht="15" customHeight="1">
      <c r="H718" s="71" t="s">
        <v>807</v>
      </c>
    </row>
    <row r="719" spans="8:8" ht="15" customHeight="1">
      <c r="H719" s="71" t="s">
        <v>808</v>
      </c>
    </row>
    <row r="720" spans="8:8" ht="15" customHeight="1">
      <c r="H720" s="71" t="s">
        <v>809</v>
      </c>
    </row>
    <row r="721" spans="8:8" ht="15" customHeight="1">
      <c r="H721" s="71" t="s">
        <v>810</v>
      </c>
    </row>
    <row r="722" spans="8:8" ht="15" customHeight="1">
      <c r="H722" s="71" t="s">
        <v>811</v>
      </c>
    </row>
    <row r="723" spans="8:8" ht="15" customHeight="1">
      <c r="H723" s="71" t="s">
        <v>812</v>
      </c>
    </row>
    <row r="724" spans="8:8" ht="15" customHeight="1">
      <c r="H724" s="71" t="s">
        <v>813</v>
      </c>
    </row>
    <row r="725" spans="8:8" ht="15" customHeight="1">
      <c r="H725" s="71" t="s">
        <v>814</v>
      </c>
    </row>
    <row r="726" spans="8:8" ht="15" customHeight="1">
      <c r="H726" s="71" t="s">
        <v>815</v>
      </c>
    </row>
    <row r="727" spans="8:8" ht="15" customHeight="1">
      <c r="H727" s="71" t="s">
        <v>816</v>
      </c>
    </row>
    <row r="728" spans="8:8" ht="15" customHeight="1">
      <c r="H728" s="71" t="s">
        <v>817</v>
      </c>
    </row>
    <row r="729" spans="8:8" ht="15" customHeight="1">
      <c r="H729" s="71" t="s">
        <v>818</v>
      </c>
    </row>
    <row r="730" spans="8:8" ht="15" customHeight="1">
      <c r="H730" s="71" t="s">
        <v>819</v>
      </c>
    </row>
    <row r="731" spans="8:8" ht="15" customHeight="1">
      <c r="H731" s="71" t="s">
        <v>819</v>
      </c>
    </row>
    <row r="732" spans="8:8" ht="15" customHeight="1">
      <c r="H732" s="71" t="s">
        <v>820</v>
      </c>
    </row>
    <row r="733" spans="8:8" ht="15" customHeight="1">
      <c r="H733" s="71" t="s">
        <v>821</v>
      </c>
    </row>
    <row r="734" spans="8:8" ht="15" customHeight="1">
      <c r="H734" s="71" t="s">
        <v>822</v>
      </c>
    </row>
    <row r="735" spans="8:8" ht="15" customHeight="1">
      <c r="H735" s="71" t="s">
        <v>823</v>
      </c>
    </row>
    <row r="736" spans="8:8" ht="15" customHeight="1">
      <c r="H736" s="71" t="s">
        <v>824</v>
      </c>
    </row>
    <row r="737" spans="8:8" ht="15" customHeight="1">
      <c r="H737" s="71" t="s">
        <v>825</v>
      </c>
    </row>
    <row r="738" spans="8:8" ht="15" customHeight="1">
      <c r="H738" s="71" t="s">
        <v>826</v>
      </c>
    </row>
    <row r="739" spans="8:8" ht="15" customHeight="1">
      <c r="H739" s="71" t="s">
        <v>827</v>
      </c>
    </row>
    <row r="740" spans="8:8" ht="15" customHeight="1">
      <c r="H740" s="73"/>
    </row>
    <row r="741" spans="8:8" ht="15" customHeight="1">
      <c r="H741" s="71" t="s">
        <v>828</v>
      </c>
    </row>
    <row r="742" spans="8:8" ht="15" customHeight="1">
      <c r="H742" s="73"/>
    </row>
    <row r="743" spans="8:8" ht="15" customHeight="1">
      <c r="H743" s="71" t="s">
        <v>829</v>
      </c>
    </row>
    <row r="744" spans="8:8" ht="15" customHeight="1">
      <c r="H744" s="71" t="s">
        <v>830</v>
      </c>
    </row>
    <row r="745" spans="8:8" ht="15" customHeight="1">
      <c r="H745" s="46"/>
    </row>
    <row r="746" spans="8:8" ht="15" customHeight="1">
      <c r="H746" s="71" t="s">
        <v>831</v>
      </c>
    </row>
    <row r="747" spans="8:8" ht="15" customHeight="1">
      <c r="H747" s="71" t="s">
        <v>832</v>
      </c>
    </row>
    <row r="748" spans="8:8" ht="15" customHeight="1">
      <c r="H748" s="71" t="s">
        <v>833</v>
      </c>
    </row>
    <row r="749" spans="8:8" ht="15" customHeight="1">
      <c r="H749" s="71" t="s">
        <v>834</v>
      </c>
    </row>
    <row r="750" spans="8:8" ht="15" customHeight="1">
      <c r="H750" s="71" t="s">
        <v>835</v>
      </c>
    </row>
    <row r="751" spans="8:8" ht="15" customHeight="1">
      <c r="H751" s="72" t="s">
        <v>836</v>
      </c>
    </row>
    <row r="752" spans="8:8" ht="15" customHeight="1">
      <c r="H752" s="72" t="s">
        <v>837</v>
      </c>
    </row>
    <row r="753" spans="8:8" ht="15" customHeight="1">
      <c r="H753" s="71" t="s">
        <v>838</v>
      </c>
    </row>
    <row r="754" spans="8:8" ht="15" customHeight="1">
      <c r="H754" s="71" t="s">
        <v>839</v>
      </c>
    </row>
    <row r="755" spans="8:8" ht="15" customHeight="1">
      <c r="H755" s="72" t="s">
        <v>840</v>
      </c>
    </row>
    <row r="756" spans="8:8" ht="15" customHeight="1">
      <c r="H756" s="71" t="s">
        <v>841</v>
      </c>
    </row>
    <row r="757" spans="8:8" ht="15" customHeight="1">
      <c r="H757" s="71" t="s">
        <v>842</v>
      </c>
    </row>
    <row r="758" spans="8:8" ht="15" customHeight="1">
      <c r="H758" s="71" t="s">
        <v>843</v>
      </c>
    </row>
    <row r="759" spans="8:8" ht="15" customHeight="1">
      <c r="H759" s="72" t="s">
        <v>844</v>
      </c>
    </row>
    <row r="760" spans="8:8" ht="15" customHeight="1">
      <c r="H760" s="72" t="s">
        <v>845</v>
      </c>
    </row>
    <row r="761" spans="8:8" ht="15" customHeight="1">
      <c r="H761" s="71" t="s">
        <v>846</v>
      </c>
    </row>
    <row r="762" spans="8:8" ht="15" customHeight="1">
      <c r="H762" s="71" t="s">
        <v>847</v>
      </c>
    </row>
    <row r="763" spans="8:8" ht="15" customHeight="1">
      <c r="H763" s="71" t="s">
        <v>848</v>
      </c>
    </row>
    <row r="764" spans="8:8" ht="15" customHeight="1">
      <c r="H764" s="71" t="s">
        <v>849</v>
      </c>
    </row>
    <row r="765" spans="8:8" ht="15" customHeight="1">
      <c r="H765" s="71" t="s">
        <v>850</v>
      </c>
    </row>
    <row r="766" spans="8:8" ht="15" customHeight="1">
      <c r="H766" s="73"/>
    </row>
    <row r="767" spans="8:8" ht="15" customHeight="1">
      <c r="H767" s="71" t="s">
        <v>851</v>
      </c>
    </row>
    <row r="768" spans="8:8" ht="15" customHeight="1">
      <c r="H768" s="71" t="s">
        <v>852</v>
      </c>
    </row>
    <row r="769" spans="8:8" ht="15" customHeight="1">
      <c r="H769" s="71" t="s">
        <v>853</v>
      </c>
    </row>
    <row r="770" spans="8:8" ht="15" customHeight="1">
      <c r="H770" s="71" t="s">
        <v>854</v>
      </c>
    </row>
    <row r="771" spans="8:8" ht="15" customHeight="1">
      <c r="H771" s="71" t="s">
        <v>855</v>
      </c>
    </row>
    <row r="772" spans="8:8" ht="15" customHeight="1">
      <c r="H772" s="71" t="s">
        <v>856</v>
      </c>
    </row>
    <row r="773" spans="8:8" ht="15" customHeight="1">
      <c r="H773" s="71" t="s">
        <v>857</v>
      </c>
    </row>
    <row r="774" spans="8:8" ht="15" customHeight="1">
      <c r="H774" s="71" t="s">
        <v>858</v>
      </c>
    </row>
    <row r="775" spans="8:8" ht="15" customHeight="1">
      <c r="H775" s="71" t="s">
        <v>859</v>
      </c>
    </row>
    <row r="776" spans="8:8" ht="15" customHeight="1">
      <c r="H776" s="71" t="s">
        <v>860</v>
      </c>
    </row>
    <row r="777" spans="8:8" ht="15" customHeight="1">
      <c r="H777" s="71" t="s">
        <v>861</v>
      </c>
    </row>
    <row r="778" spans="8:8" ht="15" customHeight="1">
      <c r="H778" s="71" t="s">
        <v>862</v>
      </c>
    </row>
    <row r="779" spans="8:8" ht="15" customHeight="1">
      <c r="H779" s="71" t="s">
        <v>863</v>
      </c>
    </row>
    <row r="780" spans="8:8" ht="15" customHeight="1">
      <c r="H780" s="71" t="s">
        <v>864</v>
      </c>
    </row>
    <row r="781" spans="8:8" ht="15" customHeight="1">
      <c r="H781" s="71" t="s">
        <v>865</v>
      </c>
    </row>
    <row r="782" spans="8:8" ht="15" customHeight="1">
      <c r="H782" s="71" t="s">
        <v>866</v>
      </c>
    </row>
    <row r="783" spans="8:8" ht="15" customHeight="1">
      <c r="H783" s="71" t="s">
        <v>867</v>
      </c>
    </row>
    <row r="784" spans="8:8" ht="15" customHeight="1">
      <c r="H784" s="71" t="s">
        <v>868</v>
      </c>
    </row>
    <row r="785" spans="8:8" ht="15" customHeight="1">
      <c r="H785" s="72" t="s">
        <v>869</v>
      </c>
    </row>
    <row r="786" spans="8:8" ht="15" customHeight="1">
      <c r="H786" s="71" t="s">
        <v>870</v>
      </c>
    </row>
    <row r="787" spans="8:8" ht="15" customHeight="1">
      <c r="H787" s="73"/>
    </row>
    <row r="788" spans="8:8" ht="15" customHeight="1">
      <c r="H788" s="72" t="s">
        <v>871</v>
      </c>
    </row>
    <row r="789" spans="8:8" ht="15" customHeight="1">
      <c r="H789" s="71" t="s">
        <v>872</v>
      </c>
    </row>
    <row r="790" spans="8:8" ht="15" customHeight="1">
      <c r="H790" s="71" t="s">
        <v>873</v>
      </c>
    </row>
    <row r="791" spans="8:8" ht="15" customHeight="1">
      <c r="H791" s="71" t="s">
        <v>874</v>
      </c>
    </row>
    <row r="792" spans="8:8" ht="15" customHeight="1">
      <c r="H792" s="71" t="s">
        <v>875</v>
      </c>
    </row>
    <row r="793" spans="8:8" ht="15" customHeight="1">
      <c r="H793" s="71" t="s">
        <v>876</v>
      </c>
    </row>
    <row r="794" spans="8:8" ht="15" customHeight="1">
      <c r="H794" s="76"/>
    </row>
    <row r="795" spans="8:8" ht="15" customHeight="1">
      <c r="H795" s="71" t="s">
        <v>877</v>
      </c>
    </row>
    <row r="796" spans="8:8" ht="15" customHeight="1">
      <c r="H796" s="71" t="s">
        <v>878</v>
      </c>
    </row>
    <row r="797" spans="8:8" ht="15" customHeight="1">
      <c r="H797" s="71" t="s">
        <v>879</v>
      </c>
    </row>
    <row r="798" spans="8:8" ht="15" customHeight="1">
      <c r="H798" s="71" t="s">
        <v>880</v>
      </c>
    </row>
    <row r="799" spans="8:8" ht="15" customHeight="1">
      <c r="H799" s="71" t="s">
        <v>881</v>
      </c>
    </row>
    <row r="800" spans="8:8" ht="15" customHeight="1">
      <c r="H800" s="71" t="s">
        <v>882</v>
      </c>
    </row>
    <row r="801" spans="8:8" ht="15" customHeight="1">
      <c r="H801" s="71" t="s">
        <v>883</v>
      </c>
    </row>
    <row r="802" spans="8:8" ht="15" customHeight="1">
      <c r="H802" s="73"/>
    </row>
    <row r="803" spans="8:8" ht="15" customHeight="1">
      <c r="H803" s="71" t="s">
        <v>884</v>
      </c>
    </row>
    <row r="804" spans="8:8" ht="15" customHeight="1">
      <c r="H804" s="71" t="s">
        <v>885</v>
      </c>
    </row>
    <row r="805" spans="8:8" ht="15" customHeight="1">
      <c r="H805" s="73"/>
    </row>
    <row r="806" spans="8:8" ht="15" customHeight="1">
      <c r="H806" s="77" t="s">
        <v>886</v>
      </c>
    </row>
    <row r="807" spans="8:8" ht="15" customHeight="1">
      <c r="H807" s="77" t="s">
        <v>887</v>
      </c>
    </row>
    <row r="808" spans="8:8" ht="15" customHeight="1">
      <c r="H808" s="77" t="s">
        <v>888</v>
      </c>
    </row>
    <row r="809" spans="8:8" ht="15" customHeight="1">
      <c r="H809" s="71" t="s">
        <v>889</v>
      </c>
    </row>
    <row r="810" spans="8:8" ht="15" customHeight="1">
      <c r="H810" s="71" t="s">
        <v>890</v>
      </c>
    </row>
    <row r="811" spans="8:8" ht="15" customHeight="1">
      <c r="H811" s="71" t="s">
        <v>891</v>
      </c>
    </row>
    <row r="812" spans="8:8" ht="15" customHeight="1">
      <c r="H812" s="71" t="s">
        <v>892</v>
      </c>
    </row>
    <row r="813" spans="8:8" ht="15" customHeight="1">
      <c r="H813" s="72" t="s">
        <v>893</v>
      </c>
    </row>
    <row r="814" spans="8:8" ht="15" customHeight="1">
      <c r="H814" s="71" t="s">
        <v>894</v>
      </c>
    </row>
    <row r="815" spans="8:8" ht="15" customHeight="1">
      <c r="H815" s="71" t="s">
        <v>895</v>
      </c>
    </row>
    <row r="816" spans="8:8" ht="15" customHeight="1">
      <c r="H816" s="71" t="s">
        <v>896</v>
      </c>
    </row>
    <row r="817" spans="8:8" ht="15" customHeight="1">
      <c r="H817" s="71" t="s">
        <v>897</v>
      </c>
    </row>
    <row r="818" spans="8:8" ht="15" customHeight="1">
      <c r="H818" s="71" t="s">
        <v>898</v>
      </c>
    </row>
    <row r="819" spans="8:8" ht="15" customHeight="1">
      <c r="H819" s="71" t="s">
        <v>899</v>
      </c>
    </row>
    <row r="820" spans="8:8" ht="15" customHeight="1">
      <c r="H820" s="71" t="s">
        <v>900</v>
      </c>
    </row>
    <row r="821" spans="8:8" ht="15" customHeight="1">
      <c r="H821" s="71" t="s">
        <v>901</v>
      </c>
    </row>
    <row r="822" spans="8:8" ht="15" customHeight="1">
      <c r="H822" s="71" t="s">
        <v>902</v>
      </c>
    </row>
    <row r="823" spans="8:8" ht="15" customHeight="1">
      <c r="H823" s="71" t="s">
        <v>903</v>
      </c>
    </row>
    <row r="824" spans="8:8" ht="15" customHeight="1">
      <c r="H824" s="71" t="s">
        <v>904</v>
      </c>
    </row>
    <row r="825" spans="8:8" ht="15" customHeight="1">
      <c r="H825" s="71" t="s">
        <v>905</v>
      </c>
    </row>
    <row r="826" spans="8:8" ht="15" customHeight="1">
      <c r="H826" s="71" t="s">
        <v>906</v>
      </c>
    </row>
    <row r="827" spans="8:8" ht="15" customHeight="1">
      <c r="H827" s="71" t="s">
        <v>907</v>
      </c>
    </row>
    <row r="828" spans="8:8" ht="15" customHeight="1">
      <c r="H828" s="71" t="s">
        <v>908</v>
      </c>
    </row>
    <row r="829" spans="8:8" ht="15" customHeight="1">
      <c r="H829" s="71" t="s">
        <v>909</v>
      </c>
    </row>
    <row r="830" spans="8:8" ht="15" customHeight="1">
      <c r="H830" s="71" t="s">
        <v>910</v>
      </c>
    </row>
    <row r="831" spans="8:8" ht="15" customHeight="1">
      <c r="H831" s="71" t="s">
        <v>911</v>
      </c>
    </row>
    <row r="832" spans="8:8" ht="15" customHeight="1">
      <c r="H832" s="71" t="s">
        <v>912</v>
      </c>
    </row>
    <row r="833" spans="8:8" ht="15" customHeight="1">
      <c r="H833" s="71" t="s">
        <v>913</v>
      </c>
    </row>
    <row r="834" spans="8:8" ht="15" customHeight="1">
      <c r="H834" s="71" t="s">
        <v>914</v>
      </c>
    </row>
    <row r="835" spans="8:8" ht="15" customHeight="1">
      <c r="H835" s="71" t="s">
        <v>915</v>
      </c>
    </row>
    <row r="836" spans="8:8" ht="15" customHeight="1">
      <c r="H836" s="71" t="s">
        <v>916</v>
      </c>
    </row>
    <row r="837" spans="8:8" ht="15" customHeight="1">
      <c r="H837" s="71" t="s">
        <v>917</v>
      </c>
    </row>
    <row r="838" spans="8:8" ht="15" customHeight="1">
      <c r="H838" s="71" t="s">
        <v>918</v>
      </c>
    </row>
    <row r="839" spans="8:8" ht="15" customHeight="1">
      <c r="H839" s="71" t="s">
        <v>919</v>
      </c>
    </row>
    <row r="840" spans="8:8" ht="15" customHeight="1">
      <c r="H840" s="71" t="s">
        <v>920</v>
      </c>
    </row>
    <row r="841" spans="8:8" ht="15" customHeight="1">
      <c r="H841" s="71" t="s">
        <v>921</v>
      </c>
    </row>
    <row r="842" spans="8:8" ht="15" customHeight="1">
      <c r="H842" s="72" t="s">
        <v>922</v>
      </c>
    </row>
    <row r="843" spans="8:8" ht="15" customHeight="1">
      <c r="H843" s="72" t="s">
        <v>923</v>
      </c>
    </row>
    <row r="844" spans="8:8" ht="15" customHeight="1">
      <c r="H844" s="71" t="s">
        <v>924</v>
      </c>
    </row>
    <row r="845" spans="8:8" ht="15" customHeight="1">
      <c r="H845" s="71" t="s">
        <v>925</v>
      </c>
    </row>
    <row r="846" spans="8:8" ht="15" customHeight="1">
      <c r="H846" s="71" t="s">
        <v>926</v>
      </c>
    </row>
    <row r="847" spans="8:8" ht="15" customHeight="1">
      <c r="H847" s="71" t="s">
        <v>927</v>
      </c>
    </row>
    <row r="848" spans="8:8" ht="15" customHeight="1">
      <c r="H848" s="73"/>
    </row>
    <row r="849" spans="8:8" ht="15" customHeight="1">
      <c r="H849" s="71" t="s">
        <v>928</v>
      </c>
    </row>
    <row r="850" spans="8:8" ht="15" customHeight="1">
      <c r="H850" s="71" t="s">
        <v>929</v>
      </c>
    </row>
    <row r="851" spans="8:8" ht="15" customHeight="1">
      <c r="H851" s="71" t="s">
        <v>930</v>
      </c>
    </row>
    <row r="852" spans="8:8" ht="15" customHeight="1">
      <c r="H852" s="71" t="s">
        <v>931</v>
      </c>
    </row>
    <row r="853" spans="8:8" ht="15" customHeight="1">
      <c r="H853" s="71" t="s">
        <v>932</v>
      </c>
    </row>
    <row r="854" spans="8:8" ht="15" customHeight="1">
      <c r="H854" s="71" t="s">
        <v>933</v>
      </c>
    </row>
    <row r="855" spans="8:8" ht="15" customHeight="1">
      <c r="H855" s="71" t="s">
        <v>934</v>
      </c>
    </row>
    <row r="856" spans="8:8" ht="15" customHeight="1">
      <c r="H856" s="71" t="s">
        <v>935</v>
      </c>
    </row>
    <row r="857" spans="8:8" ht="15" customHeight="1">
      <c r="H857" s="71" t="s">
        <v>936</v>
      </c>
    </row>
    <row r="858" spans="8:8" ht="15" customHeight="1">
      <c r="H858" s="71" t="s">
        <v>937</v>
      </c>
    </row>
    <row r="859" spans="8:8" ht="15" customHeight="1">
      <c r="H859" s="71" t="s">
        <v>938</v>
      </c>
    </row>
    <row r="860" spans="8:8" ht="15" customHeight="1">
      <c r="H860" s="71" t="s">
        <v>939</v>
      </c>
    </row>
    <row r="861" spans="8:8" ht="15" customHeight="1">
      <c r="H861" s="71" t="s">
        <v>940</v>
      </c>
    </row>
    <row r="862" spans="8:8" ht="15" customHeight="1">
      <c r="H862" s="71" t="s">
        <v>942</v>
      </c>
    </row>
    <row r="863" spans="8:8" ht="15" customHeight="1">
      <c r="H863" s="71" t="s">
        <v>943</v>
      </c>
    </row>
    <row r="864" spans="8:8" ht="15" customHeight="1">
      <c r="H864" s="71" t="s">
        <v>944</v>
      </c>
    </row>
    <row r="865" spans="8:8" ht="15" customHeight="1">
      <c r="H865" s="71" t="s">
        <v>945</v>
      </c>
    </row>
    <row r="866" spans="8:8" ht="15" customHeight="1">
      <c r="H866" s="71" t="s">
        <v>946</v>
      </c>
    </row>
    <row r="867" spans="8:8" ht="15" customHeight="1">
      <c r="H867" s="71" t="s">
        <v>947</v>
      </c>
    </row>
    <row r="868" spans="8:8" ht="15" customHeight="1">
      <c r="H868" s="71" t="s">
        <v>948</v>
      </c>
    </row>
    <row r="869" spans="8:8" ht="15" customHeight="1">
      <c r="H869" s="77" t="s">
        <v>949</v>
      </c>
    </row>
    <row r="870" spans="8:8" ht="15" customHeight="1">
      <c r="H870" s="71" t="s">
        <v>949</v>
      </c>
    </row>
    <row r="871" spans="8:8" ht="15" customHeight="1">
      <c r="H871" s="72" t="s">
        <v>950</v>
      </c>
    </row>
    <row r="872" spans="8:8" ht="15" customHeight="1">
      <c r="H872" s="71" t="s">
        <v>951</v>
      </c>
    </row>
    <row r="873" spans="8:8" ht="15" customHeight="1">
      <c r="H873" s="71" t="s">
        <v>952</v>
      </c>
    </row>
    <row r="874" spans="8:8" ht="15" customHeight="1">
      <c r="H874" s="71" t="s">
        <v>953</v>
      </c>
    </row>
    <row r="875" spans="8:8" ht="15" customHeight="1">
      <c r="H875" s="71" t="s">
        <v>954</v>
      </c>
    </row>
    <row r="876" spans="8:8" ht="15" customHeight="1">
      <c r="H876" s="71" t="s">
        <v>955</v>
      </c>
    </row>
    <row r="877" spans="8:8" ht="15" customHeight="1">
      <c r="H877" s="71" t="s">
        <v>956</v>
      </c>
    </row>
    <row r="878" spans="8:8" ht="15" customHeight="1">
      <c r="H878" s="71" t="s">
        <v>957</v>
      </c>
    </row>
    <row r="879" spans="8:8" ht="15" customHeight="1">
      <c r="H879" s="71" t="s">
        <v>958</v>
      </c>
    </row>
    <row r="880" spans="8:8" ht="15" customHeight="1">
      <c r="H880" s="72" t="s">
        <v>959</v>
      </c>
    </row>
    <row r="881" spans="8:8" ht="15" customHeight="1">
      <c r="H881" s="71" t="s">
        <v>960</v>
      </c>
    </row>
    <row r="882" spans="8:8" ht="15" customHeight="1">
      <c r="H882" s="72" t="s">
        <v>961</v>
      </c>
    </row>
    <row r="883" spans="8:8" ht="15" customHeight="1">
      <c r="H883" s="71" t="s">
        <v>962</v>
      </c>
    </row>
    <row r="884" spans="8:8" ht="15" customHeight="1">
      <c r="H884" s="71" t="s">
        <v>963</v>
      </c>
    </row>
    <row r="885" spans="8:8" ht="15" customHeight="1">
      <c r="H885" s="71" t="s">
        <v>964</v>
      </c>
    </row>
    <row r="886" spans="8:8" ht="15" customHeight="1">
      <c r="H886" s="71" t="s">
        <v>965</v>
      </c>
    </row>
    <row r="887" spans="8:8" ht="15" customHeight="1">
      <c r="H887" s="71" t="s">
        <v>966</v>
      </c>
    </row>
    <row r="888" spans="8:8" ht="15" customHeight="1">
      <c r="H888" s="71" t="s">
        <v>967</v>
      </c>
    </row>
    <row r="889" spans="8:8" ht="15" customHeight="1">
      <c r="H889" s="71" t="s">
        <v>968</v>
      </c>
    </row>
    <row r="890" spans="8:8" ht="15" customHeight="1">
      <c r="H890" s="71" t="s">
        <v>969</v>
      </c>
    </row>
    <row r="891" spans="8:8" ht="15" customHeight="1">
      <c r="H891" s="71" t="s">
        <v>970</v>
      </c>
    </row>
    <row r="892" spans="8:8" ht="15" customHeight="1">
      <c r="H892" s="71" t="s">
        <v>971</v>
      </c>
    </row>
    <row r="893" spans="8:8" ht="15" customHeight="1">
      <c r="H893" s="71" t="s">
        <v>972</v>
      </c>
    </row>
    <row r="894" spans="8:8" ht="15" customHeight="1">
      <c r="H894" s="71" t="s">
        <v>973</v>
      </c>
    </row>
    <row r="895" spans="8:8" ht="15" customHeight="1">
      <c r="H895" s="71" t="s">
        <v>974</v>
      </c>
    </row>
    <row r="896" spans="8:8" ht="15" customHeight="1">
      <c r="H896" s="71" t="s">
        <v>975</v>
      </c>
    </row>
    <row r="897" spans="8:8" ht="15" customHeight="1">
      <c r="H897" s="71" t="s">
        <v>976</v>
      </c>
    </row>
    <row r="898" spans="8:8" ht="15" customHeight="1">
      <c r="H898" s="71" t="s">
        <v>977</v>
      </c>
    </row>
    <row r="899" spans="8:8" ht="15" customHeight="1">
      <c r="H899" s="71" t="s">
        <v>978</v>
      </c>
    </row>
    <row r="900" spans="8:8" ht="15" customHeight="1">
      <c r="H900" s="71" t="s">
        <v>979</v>
      </c>
    </row>
    <row r="901" spans="8:8" ht="15" customHeight="1">
      <c r="H901" s="71" t="s">
        <v>980</v>
      </c>
    </row>
    <row r="902" spans="8:8" ht="15" customHeight="1">
      <c r="H902" s="71" t="s">
        <v>981</v>
      </c>
    </row>
    <row r="903" spans="8:8" ht="15" customHeight="1">
      <c r="H903" s="71" t="s">
        <v>982</v>
      </c>
    </row>
    <row r="904" spans="8:8" ht="15" customHeight="1">
      <c r="H904" s="71" t="s">
        <v>983</v>
      </c>
    </row>
    <row r="905" spans="8:8" ht="15" customHeight="1">
      <c r="H905" s="77" t="s">
        <v>984</v>
      </c>
    </row>
    <row r="906" spans="8:8" ht="15" customHeight="1">
      <c r="H906" s="71" t="s">
        <v>984</v>
      </c>
    </row>
  </sheetData>
  <sortState ref="C2:C59">
    <sortCondition ref="C59"/>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
  <sheetViews>
    <sheetView workbookViewId="0">
      <selection activeCell="F6" sqref="F6"/>
    </sheetView>
  </sheetViews>
  <sheetFormatPr defaultRowHeight="15"/>
  <cols>
    <col min="2" max="4" width="9.140625" style="83"/>
  </cols>
  <sheetData>
    <row r="1" spans="1:4">
      <c r="B1" s="83" t="s">
        <v>985</v>
      </c>
      <c r="C1" s="83" t="s">
        <v>2</v>
      </c>
      <c r="D1" s="83" t="s">
        <v>1290</v>
      </c>
    </row>
    <row r="2" spans="1:4">
      <c r="A2" t="s">
        <v>11</v>
      </c>
      <c r="B2" s="83">
        <v>100</v>
      </c>
      <c r="C2" s="83">
        <v>10</v>
      </c>
      <c r="D2" s="83">
        <v>1</v>
      </c>
    </row>
    <row r="3" spans="1:4">
      <c r="A3" t="s">
        <v>12</v>
      </c>
      <c r="B3" s="83">
        <v>200</v>
      </c>
      <c r="C3" s="83">
        <v>10</v>
      </c>
      <c r="D3" s="83">
        <v>1</v>
      </c>
    </row>
    <row r="4" spans="1:4">
      <c r="A4" t="s">
        <v>13</v>
      </c>
      <c r="B4" s="83">
        <v>300</v>
      </c>
      <c r="C4" s="83">
        <v>10</v>
      </c>
      <c r="D4" s="83">
        <v>1</v>
      </c>
    </row>
    <row r="5" spans="1:4">
      <c r="A5" t="s">
        <v>14</v>
      </c>
      <c r="B5" s="83">
        <v>400</v>
      </c>
      <c r="C5" s="83">
        <v>10</v>
      </c>
      <c r="D5" s="83">
        <v>1</v>
      </c>
    </row>
    <row r="6" spans="1:4">
      <c r="A6" t="s">
        <v>15</v>
      </c>
      <c r="B6" s="83">
        <v>500</v>
      </c>
      <c r="C6" s="83">
        <v>10</v>
      </c>
      <c r="D6" s="83">
        <v>1</v>
      </c>
    </row>
    <row r="7" spans="1:4">
      <c r="A7" t="s">
        <v>16</v>
      </c>
      <c r="B7" s="83">
        <v>601</v>
      </c>
      <c r="C7" s="83">
        <v>11</v>
      </c>
      <c r="D7" s="83">
        <v>7</v>
      </c>
    </row>
    <row r="8" spans="1:4">
      <c r="A8" t="s">
        <v>9</v>
      </c>
      <c r="B8" s="83">
        <v>700</v>
      </c>
      <c r="C8" s="83">
        <v>10</v>
      </c>
      <c r="D8" s="83">
        <v>1</v>
      </c>
    </row>
    <row r="9" spans="1:4">
      <c r="A9" t="s">
        <v>30</v>
      </c>
      <c r="B9" s="83">
        <v>800</v>
      </c>
      <c r="C9" s="83">
        <v>10</v>
      </c>
      <c r="D9" s="83">
        <v>1</v>
      </c>
    </row>
    <row r="10" spans="1:4">
      <c r="A10" t="s">
        <v>40</v>
      </c>
      <c r="B10" s="83">
        <v>900</v>
      </c>
      <c r="C10" s="83">
        <v>10</v>
      </c>
      <c r="D10" s="8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251"/>
  <sheetViews>
    <sheetView workbookViewId="0">
      <pane xSplit="1" ySplit="1" topLeftCell="B2" activePane="bottomRight" state="frozen"/>
      <selection pane="topRight" activeCell="B1" sqref="B1"/>
      <selection pane="bottomLeft" activeCell="A2" sqref="A2"/>
      <selection pane="bottomRight" activeCell="B10" sqref="B10"/>
    </sheetView>
  </sheetViews>
  <sheetFormatPr defaultColWidth="0" defaultRowHeight="15"/>
  <cols>
    <col min="1" max="1" width="9.140625" style="161" customWidth="1"/>
    <col min="2" max="2" width="95.42578125" style="159" customWidth="1"/>
    <col min="3" max="3" width="33.7109375" style="83" customWidth="1"/>
    <col min="4" max="16384" width="9.140625" hidden="1"/>
  </cols>
  <sheetData>
    <row r="1" spans="1:3" s="160" customFormat="1" ht="37.5" customHeight="1">
      <c r="A1" s="160" t="s">
        <v>1279</v>
      </c>
      <c r="B1" s="160" t="s">
        <v>1281</v>
      </c>
      <c r="C1" s="160" t="s">
        <v>1280</v>
      </c>
    </row>
    <row r="2" spans="1:3">
      <c r="A2" s="161">
        <v>1</v>
      </c>
      <c r="B2" s="159" t="s">
        <v>1285</v>
      </c>
      <c r="C2" s="83" t="s">
        <v>1282</v>
      </c>
    </row>
    <row r="3" spans="1:3">
      <c r="A3" s="161">
        <f>IF(B3="","",A2+1)</f>
        <v>2</v>
      </c>
      <c r="B3" s="159" t="s">
        <v>1283</v>
      </c>
      <c r="C3" s="83" t="s">
        <v>1282</v>
      </c>
    </row>
    <row r="4" spans="1:3">
      <c r="A4" s="161">
        <f t="shared" ref="A4:A67" si="0">IF(B4="","",A3+1)</f>
        <v>3</v>
      </c>
      <c r="B4" s="159" t="s">
        <v>1284</v>
      </c>
      <c r="C4" s="83" t="s">
        <v>1282</v>
      </c>
    </row>
    <row r="5" spans="1:3">
      <c r="A5" s="161">
        <f t="shared" si="0"/>
        <v>4</v>
      </c>
      <c r="B5" s="159" t="s">
        <v>1286</v>
      </c>
      <c r="C5" s="83" t="s">
        <v>1282</v>
      </c>
    </row>
    <row r="6" spans="1:3">
      <c r="A6" s="161">
        <f t="shared" si="0"/>
        <v>5</v>
      </c>
      <c r="B6" s="159" t="s">
        <v>1287</v>
      </c>
      <c r="C6" s="83" t="s">
        <v>1282</v>
      </c>
    </row>
    <row r="7" spans="1:3">
      <c r="A7" s="161">
        <f t="shared" si="0"/>
        <v>6</v>
      </c>
      <c r="B7" s="159" t="s">
        <v>1288</v>
      </c>
      <c r="C7" s="83" t="s">
        <v>1282</v>
      </c>
    </row>
    <row r="8" spans="1:3">
      <c r="A8" s="161">
        <f t="shared" si="0"/>
        <v>7</v>
      </c>
      <c r="B8" s="175" t="s">
        <v>1289</v>
      </c>
      <c r="C8" s="83" t="s">
        <v>1282</v>
      </c>
    </row>
    <row r="9" spans="1:3">
      <c r="A9" s="161">
        <f t="shared" si="0"/>
        <v>8</v>
      </c>
      <c r="B9" s="159" t="s">
        <v>1291</v>
      </c>
    </row>
    <row r="10" spans="1:3">
      <c r="A10" s="161" t="str">
        <f t="shared" si="0"/>
        <v/>
      </c>
    </row>
    <row r="11" spans="1:3">
      <c r="A11" s="161" t="str">
        <f t="shared" si="0"/>
        <v/>
      </c>
    </row>
    <row r="12" spans="1:3">
      <c r="A12" s="161" t="str">
        <f t="shared" si="0"/>
        <v/>
      </c>
    </row>
    <row r="13" spans="1:3">
      <c r="A13" s="161" t="str">
        <f t="shared" si="0"/>
        <v/>
      </c>
    </row>
    <row r="14" spans="1:3">
      <c r="A14" s="161" t="str">
        <f t="shared" si="0"/>
        <v/>
      </c>
    </row>
    <row r="15" spans="1:3">
      <c r="A15" s="161" t="str">
        <f t="shared" si="0"/>
        <v/>
      </c>
    </row>
    <row r="16" spans="1:3">
      <c r="A16" s="161" t="str">
        <f t="shared" si="0"/>
        <v/>
      </c>
    </row>
    <row r="17" spans="1:1">
      <c r="A17" s="161" t="str">
        <f t="shared" si="0"/>
        <v/>
      </c>
    </row>
    <row r="18" spans="1:1">
      <c r="A18" s="161" t="str">
        <f t="shared" si="0"/>
        <v/>
      </c>
    </row>
    <row r="19" spans="1:1">
      <c r="A19" s="161" t="str">
        <f t="shared" si="0"/>
        <v/>
      </c>
    </row>
    <row r="20" spans="1:1">
      <c r="A20" s="161" t="str">
        <f t="shared" si="0"/>
        <v/>
      </c>
    </row>
    <row r="21" spans="1:1">
      <c r="A21" s="161" t="str">
        <f t="shared" si="0"/>
        <v/>
      </c>
    </row>
    <row r="22" spans="1:1">
      <c r="A22" s="161" t="str">
        <f t="shared" si="0"/>
        <v/>
      </c>
    </row>
    <row r="23" spans="1:1">
      <c r="A23" s="161" t="str">
        <f t="shared" si="0"/>
        <v/>
      </c>
    </row>
    <row r="24" spans="1:1">
      <c r="A24" s="161" t="str">
        <f t="shared" si="0"/>
        <v/>
      </c>
    </row>
    <row r="25" spans="1:1">
      <c r="A25" s="161" t="str">
        <f t="shared" si="0"/>
        <v/>
      </c>
    </row>
    <row r="26" spans="1:1">
      <c r="A26" s="161" t="str">
        <f t="shared" si="0"/>
        <v/>
      </c>
    </row>
    <row r="27" spans="1:1">
      <c r="A27" s="161" t="str">
        <f t="shared" si="0"/>
        <v/>
      </c>
    </row>
    <row r="28" spans="1:1">
      <c r="A28" s="161" t="str">
        <f t="shared" si="0"/>
        <v/>
      </c>
    </row>
    <row r="29" spans="1:1">
      <c r="A29" s="161" t="str">
        <f t="shared" si="0"/>
        <v/>
      </c>
    </row>
    <row r="30" spans="1:1">
      <c r="A30" s="161" t="str">
        <f t="shared" si="0"/>
        <v/>
      </c>
    </row>
    <row r="31" spans="1:1">
      <c r="A31" s="161" t="str">
        <f t="shared" si="0"/>
        <v/>
      </c>
    </row>
    <row r="32" spans="1:1">
      <c r="A32" s="161" t="str">
        <f t="shared" si="0"/>
        <v/>
      </c>
    </row>
    <row r="33" spans="1:1">
      <c r="A33" s="161" t="str">
        <f t="shared" si="0"/>
        <v/>
      </c>
    </row>
    <row r="34" spans="1:1">
      <c r="A34" s="161" t="str">
        <f t="shared" si="0"/>
        <v/>
      </c>
    </row>
    <row r="35" spans="1:1">
      <c r="A35" s="161" t="str">
        <f t="shared" si="0"/>
        <v/>
      </c>
    </row>
    <row r="36" spans="1:1">
      <c r="A36" s="161" t="str">
        <f t="shared" si="0"/>
        <v/>
      </c>
    </row>
    <row r="37" spans="1:1">
      <c r="A37" s="161" t="str">
        <f t="shared" si="0"/>
        <v/>
      </c>
    </row>
    <row r="38" spans="1:1">
      <c r="A38" s="161" t="str">
        <f t="shared" si="0"/>
        <v/>
      </c>
    </row>
    <row r="39" spans="1:1">
      <c r="A39" s="161" t="str">
        <f t="shared" si="0"/>
        <v/>
      </c>
    </row>
    <row r="40" spans="1:1">
      <c r="A40" s="161" t="str">
        <f t="shared" si="0"/>
        <v/>
      </c>
    </row>
    <row r="41" spans="1:1">
      <c r="A41" s="161" t="str">
        <f t="shared" si="0"/>
        <v/>
      </c>
    </row>
    <row r="42" spans="1:1">
      <c r="A42" s="161" t="str">
        <f t="shared" si="0"/>
        <v/>
      </c>
    </row>
    <row r="43" spans="1:1">
      <c r="A43" s="161" t="str">
        <f t="shared" si="0"/>
        <v/>
      </c>
    </row>
    <row r="44" spans="1:1">
      <c r="A44" s="161" t="str">
        <f t="shared" si="0"/>
        <v/>
      </c>
    </row>
    <row r="45" spans="1:1">
      <c r="A45" s="161" t="str">
        <f t="shared" si="0"/>
        <v/>
      </c>
    </row>
    <row r="46" spans="1:1">
      <c r="A46" s="161" t="str">
        <f t="shared" si="0"/>
        <v/>
      </c>
    </row>
    <row r="47" spans="1:1">
      <c r="A47" s="161" t="str">
        <f t="shared" si="0"/>
        <v/>
      </c>
    </row>
    <row r="48" spans="1:1">
      <c r="A48" s="161" t="str">
        <f t="shared" si="0"/>
        <v/>
      </c>
    </row>
    <row r="49" spans="1:1">
      <c r="A49" s="161" t="str">
        <f t="shared" si="0"/>
        <v/>
      </c>
    </row>
    <row r="50" spans="1:1">
      <c r="A50" s="161" t="str">
        <f t="shared" si="0"/>
        <v/>
      </c>
    </row>
    <row r="51" spans="1:1">
      <c r="A51" s="161" t="str">
        <f t="shared" si="0"/>
        <v/>
      </c>
    </row>
    <row r="52" spans="1:1">
      <c r="A52" s="161" t="str">
        <f t="shared" si="0"/>
        <v/>
      </c>
    </row>
    <row r="53" spans="1:1">
      <c r="A53" s="161" t="str">
        <f t="shared" si="0"/>
        <v/>
      </c>
    </row>
    <row r="54" spans="1:1">
      <c r="A54" s="161" t="str">
        <f t="shared" si="0"/>
        <v/>
      </c>
    </row>
    <row r="55" spans="1:1">
      <c r="A55" s="161" t="str">
        <f t="shared" si="0"/>
        <v/>
      </c>
    </row>
    <row r="56" spans="1:1">
      <c r="A56" s="161" t="str">
        <f t="shared" si="0"/>
        <v/>
      </c>
    </row>
    <row r="57" spans="1:1">
      <c r="A57" s="161" t="str">
        <f t="shared" si="0"/>
        <v/>
      </c>
    </row>
    <row r="58" spans="1:1">
      <c r="A58" s="161" t="str">
        <f t="shared" si="0"/>
        <v/>
      </c>
    </row>
    <row r="59" spans="1:1">
      <c r="A59" s="161" t="str">
        <f t="shared" si="0"/>
        <v/>
      </c>
    </row>
    <row r="60" spans="1:1">
      <c r="A60" s="161" t="str">
        <f t="shared" si="0"/>
        <v/>
      </c>
    </row>
    <row r="61" spans="1:1">
      <c r="A61" s="161" t="str">
        <f t="shared" si="0"/>
        <v/>
      </c>
    </row>
    <row r="62" spans="1:1">
      <c r="A62" s="161" t="str">
        <f t="shared" si="0"/>
        <v/>
      </c>
    </row>
    <row r="63" spans="1:1">
      <c r="A63" s="161" t="str">
        <f t="shared" si="0"/>
        <v/>
      </c>
    </row>
    <row r="64" spans="1:1">
      <c r="A64" s="161" t="str">
        <f t="shared" si="0"/>
        <v/>
      </c>
    </row>
    <row r="65" spans="1:1">
      <c r="A65" s="161" t="str">
        <f t="shared" si="0"/>
        <v/>
      </c>
    </row>
    <row r="66" spans="1:1">
      <c r="A66" s="161" t="str">
        <f t="shared" si="0"/>
        <v/>
      </c>
    </row>
    <row r="67" spans="1:1">
      <c r="A67" s="161" t="str">
        <f t="shared" si="0"/>
        <v/>
      </c>
    </row>
    <row r="68" spans="1:1">
      <c r="A68" s="161" t="str">
        <f t="shared" ref="A68:A131" si="1">IF(B68="","",A67+1)</f>
        <v/>
      </c>
    </row>
    <row r="69" spans="1:1">
      <c r="A69" s="161" t="str">
        <f t="shared" si="1"/>
        <v/>
      </c>
    </row>
    <row r="70" spans="1:1">
      <c r="A70" s="161" t="str">
        <f t="shared" si="1"/>
        <v/>
      </c>
    </row>
    <row r="71" spans="1:1">
      <c r="A71" s="161" t="str">
        <f t="shared" si="1"/>
        <v/>
      </c>
    </row>
    <row r="72" spans="1:1">
      <c r="A72" s="161" t="str">
        <f t="shared" si="1"/>
        <v/>
      </c>
    </row>
    <row r="73" spans="1:1">
      <c r="A73" s="161" t="str">
        <f t="shared" si="1"/>
        <v/>
      </c>
    </row>
    <row r="74" spans="1:1">
      <c r="A74" s="161" t="str">
        <f t="shared" si="1"/>
        <v/>
      </c>
    </row>
    <row r="75" spans="1:1">
      <c r="A75" s="161" t="str">
        <f t="shared" si="1"/>
        <v/>
      </c>
    </row>
    <row r="76" spans="1:1">
      <c r="A76" s="161" t="str">
        <f t="shared" si="1"/>
        <v/>
      </c>
    </row>
    <row r="77" spans="1:1">
      <c r="A77" s="161" t="str">
        <f t="shared" si="1"/>
        <v/>
      </c>
    </row>
    <row r="78" spans="1:1">
      <c r="A78" s="161" t="str">
        <f t="shared" si="1"/>
        <v/>
      </c>
    </row>
    <row r="79" spans="1:1">
      <c r="A79" s="161" t="str">
        <f t="shared" si="1"/>
        <v/>
      </c>
    </row>
    <row r="80" spans="1:1">
      <c r="A80" s="161" t="str">
        <f t="shared" si="1"/>
        <v/>
      </c>
    </row>
    <row r="81" spans="1:1">
      <c r="A81" s="161" t="str">
        <f t="shared" si="1"/>
        <v/>
      </c>
    </row>
    <row r="82" spans="1:1">
      <c r="A82" s="161" t="str">
        <f t="shared" si="1"/>
        <v/>
      </c>
    </row>
    <row r="83" spans="1:1">
      <c r="A83" s="161" t="str">
        <f t="shared" si="1"/>
        <v/>
      </c>
    </row>
    <row r="84" spans="1:1">
      <c r="A84" s="161" t="str">
        <f t="shared" si="1"/>
        <v/>
      </c>
    </row>
    <row r="85" spans="1:1">
      <c r="A85" s="161" t="str">
        <f t="shared" si="1"/>
        <v/>
      </c>
    </row>
    <row r="86" spans="1:1">
      <c r="A86" s="161" t="str">
        <f t="shared" si="1"/>
        <v/>
      </c>
    </row>
    <row r="87" spans="1:1">
      <c r="A87" s="161" t="str">
        <f t="shared" si="1"/>
        <v/>
      </c>
    </row>
    <row r="88" spans="1:1">
      <c r="A88" s="161" t="str">
        <f t="shared" si="1"/>
        <v/>
      </c>
    </row>
    <row r="89" spans="1:1">
      <c r="A89" s="161" t="str">
        <f t="shared" si="1"/>
        <v/>
      </c>
    </row>
    <row r="90" spans="1:1">
      <c r="A90" s="161" t="str">
        <f t="shared" si="1"/>
        <v/>
      </c>
    </row>
    <row r="91" spans="1:1">
      <c r="A91" s="161" t="str">
        <f t="shared" si="1"/>
        <v/>
      </c>
    </row>
    <row r="92" spans="1:1">
      <c r="A92" s="161" t="str">
        <f t="shared" si="1"/>
        <v/>
      </c>
    </row>
    <row r="93" spans="1:1">
      <c r="A93" s="161" t="str">
        <f t="shared" si="1"/>
        <v/>
      </c>
    </row>
    <row r="94" spans="1:1">
      <c r="A94" s="161" t="str">
        <f t="shared" si="1"/>
        <v/>
      </c>
    </row>
    <row r="95" spans="1:1">
      <c r="A95" s="161" t="str">
        <f t="shared" si="1"/>
        <v/>
      </c>
    </row>
    <row r="96" spans="1:1">
      <c r="A96" s="161" t="str">
        <f t="shared" si="1"/>
        <v/>
      </c>
    </row>
    <row r="97" spans="1:1">
      <c r="A97" s="161" t="str">
        <f t="shared" si="1"/>
        <v/>
      </c>
    </row>
    <row r="98" spans="1:1">
      <c r="A98" s="161" t="str">
        <f t="shared" si="1"/>
        <v/>
      </c>
    </row>
    <row r="99" spans="1:1">
      <c r="A99" s="161" t="str">
        <f t="shared" si="1"/>
        <v/>
      </c>
    </row>
    <row r="100" spans="1:1">
      <c r="A100" s="161" t="str">
        <f t="shared" si="1"/>
        <v/>
      </c>
    </row>
    <row r="101" spans="1:1">
      <c r="A101" s="161" t="str">
        <f t="shared" si="1"/>
        <v/>
      </c>
    </row>
    <row r="102" spans="1:1">
      <c r="A102" s="161" t="str">
        <f t="shared" si="1"/>
        <v/>
      </c>
    </row>
    <row r="103" spans="1:1">
      <c r="A103" s="161" t="str">
        <f t="shared" si="1"/>
        <v/>
      </c>
    </row>
    <row r="104" spans="1:1">
      <c r="A104" s="161" t="str">
        <f t="shared" si="1"/>
        <v/>
      </c>
    </row>
    <row r="105" spans="1:1">
      <c r="A105" s="161" t="str">
        <f t="shared" si="1"/>
        <v/>
      </c>
    </row>
    <row r="106" spans="1:1">
      <c r="A106" s="161" t="str">
        <f t="shared" si="1"/>
        <v/>
      </c>
    </row>
    <row r="107" spans="1:1">
      <c r="A107" s="161" t="str">
        <f t="shared" si="1"/>
        <v/>
      </c>
    </row>
    <row r="108" spans="1:1">
      <c r="A108" s="161" t="str">
        <f t="shared" si="1"/>
        <v/>
      </c>
    </row>
    <row r="109" spans="1:1">
      <c r="A109" s="161" t="str">
        <f t="shared" si="1"/>
        <v/>
      </c>
    </row>
    <row r="110" spans="1:1">
      <c r="A110" s="161" t="str">
        <f t="shared" si="1"/>
        <v/>
      </c>
    </row>
    <row r="111" spans="1:1">
      <c r="A111" s="161" t="str">
        <f t="shared" si="1"/>
        <v/>
      </c>
    </row>
    <row r="112" spans="1:1">
      <c r="A112" s="161" t="str">
        <f t="shared" si="1"/>
        <v/>
      </c>
    </row>
    <row r="113" spans="1:1">
      <c r="A113" s="161" t="str">
        <f t="shared" si="1"/>
        <v/>
      </c>
    </row>
    <row r="114" spans="1:1">
      <c r="A114" s="161" t="str">
        <f t="shared" si="1"/>
        <v/>
      </c>
    </row>
    <row r="115" spans="1:1">
      <c r="A115" s="161" t="str">
        <f t="shared" si="1"/>
        <v/>
      </c>
    </row>
    <row r="116" spans="1:1">
      <c r="A116" s="161" t="str">
        <f t="shared" si="1"/>
        <v/>
      </c>
    </row>
    <row r="117" spans="1:1">
      <c r="A117" s="161" t="str">
        <f t="shared" si="1"/>
        <v/>
      </c>
    </row>
    <row r="118" spans="1:1">
      <c r="A118" s="161" t="str">
        <f t="shared" si="1"/>
        <v/>
      </c>
    </row>
    <row r="119" spans="1:1">
      <c r="A119" s="161" t="str">
        <f t="shared" si="1"/>
        <v/>
      </c>
    </row>
    <row r="120" spans="1:1">
      <c r="A120" s="161" t="str">
        <f t="shared" si="1"/>
        <v/>
      </c>
    </row>
    <row r="121" spans="1:1">
      <c r="A121" s="161" t="str">
        <f t="shared" si="1"/>
        <v/>
      </c>
    </row>
    <row r="122" spans="1:1">
      <c r="A122" s="161" t="str">
        <f t="shared" si="1"/>
        <v/>
      </c>
    </row>
    <row r="123" spans="1:1">
      <c r="A123" s="161" t="str">
        <f t="shared" si="1"/>
        <v/>
      </c>
    </row>
    <row r="124" spans="1:1">
      <c r="A124" s="161" t="str">
        <f t="shared" si="1"/>
        <v/>
      </c>
    </row>
    <row r="125" spans="1:1">
      <c r="A125" s="161" t="str">
        <f t="shared" si="1"/>
        <v/>
      </c>
    </row>
    <row r="126" spans="1:1">
      <c r="A126" s="161" t="str">
        <f t="shared" si="1"/>
        <v/>
      </c>
    </row>
    <row r="127" spans="1:1">
      <c r="A127" s="161" t="str">
        <f t="shared" si="1"/>
        <v/>
      </c>
    </row>
    <row r="128" spans="1:1">
      <c r="A128" s="161" t="str">
        <f t="shared" si="1"/>
        <v/>
      </c>
    </row>
    <row r="129" spans="1:1">
      <c r="A129" s="161" t="str">
        <f t="shared" si="1"/>
        <v/>
      </c>
    </row>
    <row r="130" spans="1:1">
      <c r="A130" s="161" t="str">
        <f t="shared" si="1"/>
        <v/>
      </c>
    </row>
    <row r="131" spans="1:1">
      <c r="A131" s="161" t="str">
        <f t="shared" si="1"/>
        <v/>
      </c>
    </row>
    <row r="132" spans="1:1">
      <c r="A132" s="161" t="str">
        <f t="shared" ref="A132:A195" si="2">IF(B132="","",A131+1)</f>
        <v/>
      </c>
    </row>
    <row r="133" spans="1:1">
      <c r="A133" s="161" t="str">
        <f t="shared" si="2"/>
        <v/>
      </c>
    </row>
    <row r="134" spans="1:1">
      <c r="A134" s="161" t="str">
        <f t="shared" si="2"/>
        <v/>
      </c>
    </row>
    <row r="135" spans="1:1">
      <c r="A135" s="161" t="str">
        <f t="shared" si="2"/>
        <v/>
      </c>
    </row>
    <row r="136" spans="1:1">
      <c r="A136" s="161" t="str">
        <f t="shared" si="2"/>
        <v/>
      </c>
    </row>
    <row r="137" spans="1:1">
      <c r="A137" s="161" t="str">
        <f t="shared" si="2"/>
        <v/>
      </c>
    </row>
    <row r="138" spans="1:1">
      <c r="A138" s="161" t="str">
        <f t="shared" si="2"/>
        <v/>
      </c>
    </row>
    <row r="139" spans="1:1">
      <c r="A139" s="161" t="str">
        <f t="shared" si="2"/>
        <v/>
      </c>
    </row>
    <row r="140" spans="1:1">
      <c r="A140" s="161" t="str">
        <f t="shared" si="2"/>
        <v/>
      </c>
    </row>
    <row r="141" spans="1:1">
      <c r="A141" s="161" t="str">
        <f t="shared" si="2"/>
        <v/>
      </c>
    </row>
    <row r="142" spans="1:1">
      <c r="A142" s="161" t="str">
        <f t="shared" si="2"/>
        <v/>
      </c>
    </row>
    <row r="143" spans="1:1">
      <c r="A143" s="161" t="str">
        <f t="shared" si="2"/>
        <v/>
      </c>
    </row>
    <row r="144" spans="1:1">
      <c r="A144" s="161" t="str">
        <f t="shared" si="2"/>
        <v/>
      </c>
    </row>
    <row r="145" spans="1:1">
      <c r="A145" s="161" t="str">
        <f t="shared" si="2"/>
        <v/>
      </c>
    </row>
    <row r="146" spans="1:1">
      <c r="A146" s="161" t="str">
        <f t="shared" si="2"/>
        <v/>
      </c>
    </row>
    <row r="147" spans="1:1">
      <c r="A147" s="161" t="str">
        <f t="shared" si="2"/>
        <v/>
      </c>
    </row>
    <row r="148" spans="1:1">
      <c r="A148" s="161" t="str">
        <f t="shared" si="2"/>
        <v/>
      </c>
    </row>
    <row r="149" spans="1:1">
      <c r="A149" s="161" t="str">
        <f t="shared" si="2"/>
        <v/>
      </c>
    </row>
    <row r="150" spans="1:1">
      <c r="A150" s="161" t="str">
        <f t="shared" si="2"/>
        <v/>
      </c>
    </row>
    <row r="151" spans="1:1">
      <c r="A151" s="161" t="str">
        <f t="shared" si="2"/>
        <v/>
      </c>
    </row>
    <row r="152" spans="1:1">
      <c r="A152" s="161" t="str">
        <f t="shared" si="2"/>
        <v/>
      </c>
    </row>
    <row r="153" spans="1:1">
      <c r="A153" s="161" t="str">
        <f t="shared" si="2"/>
        <v/>
      </c>
    </row>
    <row r="154" spans="1:1">
      <c r="A154" s="161" t="str">
        <f t="shared" si="2"/>
        <v/>
      </c>
    </row>
    <row r="155" spans="1:1">
      <c r="A155" s="161" t="str">
        <f t="shared" si="2"/>
        <v/>
      </c>
    </row>
    <row r="156" spans="1:1">
      <c r="A156" s="161" t="str">
        <f t="shared" si="2"/>
        <v/>
      </c>
    </row>
    <row r="157" spans="1:1">
      <c r="A157" s="161" t="str">
        <f t="shared" si="2"/>
        <v/>
      </c>
    </row>
    <row r="158" spans="1:1">
      <c r="A158" s="161" t="str">
        <f t="shared" si="2"/>
        <v/>
      </c>
    </row>
    <row r="159" spans="1:1">
      <c r="A159" s="161" t="str">
        <f t="shared" si="2"/>
        <v/>
      </c>
    </row>
    <row r="160" spans="1:1">
      <c r="A160" s="161" t="str">
        <f t="shared" si="2"/>
        <v/>
      </c>
    </row>
    <row r="161" spans="1:1">
      <c r="A161" s="161" t="str">
        <f t="shared" si="2"/>
        <v/>
      </c>
    </row>
    <row r="162" spans="1:1">
      <c r="A162" s="161" t="str">
        <f t="shared" si="2"/>
        <v/>
      </c>
    </row>
    <row r="163" spans="1:1">
      <c r="A163" s="161" t="str">
        <f t="shared" si="2"/>
        <v/>
      </c>
    </row>
    <row r="164" spans="1:1">
      <c r="A164" s="161" t="str">
        <f t="shared" si="2"/>
        <v/>
      </c>
    </row>
    <row r="165" spans="1:1">
      <c r="A165" s="161" t="str">
        <f t="shared" si="2"/>
        <v/>
      </c>
    </row>
    <row r="166" spans="1:1">
      <c r="A166" s="161" t="str">
        <f t="shared" si="2"/>
        <v/>
      </c>
    </row>
    <row r="167" spans="1:1">
      <c r="A167" s="161" t="str">
        <f t="shared" si="2"/>
        <v/>
      </c>
    </row>
    <row r="168" spans="1:1">
      <c r="A168" s="161" t="str">
        <f t="shared" si="2"/>
        <v/>
      </c>
    </row>
    <row r="169" spans="1:1">
      <c r="A169" s="161" t="str">
        <f t="shared" si="2"/>
        <v/>
      </c>
    </row>
    <row r="170" spans="1:1">
      <c r="A170" s="161" t="str">
        <f t="shared" si="2"/>
        <v/>
      </c>
    </row>
    <row r="171" spans="1:1">
      <c r="A171" s="161" t="str">
        <f t="shared" si="2"/>
        <v/>
      </c>
    </row>
    <row r="172" spans="1:1">
      <c r="A172" s="161" t="str">
        <f t="shared" si="2"/>
        <v/>
      </c>
    </row>
    <row r="173" spans="1:1">
      <c r="A173" s="161" t="str">
        <f t="shared" si="2"/>
        <v/>
      </c>
    </row>
    <row r="174" spans="1:1">
      <c r="A174" s="161" t="str">
        <f t="shared" si="2"/>
        <v/>
      </c>
    </row>
    <row r="175" spans="1:1">
      <c r="A175" s="161" t="str">
        <f t="shared" si="2"/>
        <v/>
      </c>
    </row>
    <row r="176" spans="1:1">
      <c r="A176" s="161" t="str">
        <f t="shared" si="2"/>
        <v/>
      </c>
    </row>
    <row r="177" spans="1:1">
      <c r="A177" s="161" t="str">
        <f t="shared" si="2"/>
        <v/>
      </c>
    </row>
    <row r="178" spans="1:1">
      <c r="A178" s="161" t="str">
        <f t="shared" si="2"/>
        <v/>
      </c>
    </row>
    <row r="179" spans="1:1">
      <c r="A179" s="161" t="str">
        <f t="shared" si="2"/>
        <v/>
      </c>
    </row>
    <row r="180" spans="1:1">
      <c r="A180" s="161" t="str">
        <f t="shared" si="2"/>
        <v/>
      </c>
    </row>
    <row r="181" spans="1:1">
      <c r="A181" s="161" t="str">
        <f t="shared" si="2"/>
        <v/>
      </c>
    </row>
    <row r="182" spans="1:1">
      <c r="A182" s="161" t="str">
        <f t="shared" si="2"/>
        <v/>
      </c>
    </row>
    <row r="183" spans="1:1">
      <c r="A183" s="161" t="str">
        <f t="shared" si="2"/>
        <v/>
      </c>
    </row>
    <row r="184" spans="1:1">
      <c r="A184" s="161" t="str">
        <f t="shared" si="2"/>
        <v/>
      </c>
    </row>
    <row r="185" spans="1:1">
      <c r="A185" s="161" t="str">
        <f t="shared" si="2"/>
        <v/>
      </c>
    </row>
    <row r="186" spans="1:1">
      <c r="A186" s="161" t="str">
        <f t="shared" si="2"/>
        <v/>
      </c>
    </row>
    <row r="187" spans="1:1">
      <c r="A187" s="161" t="str">
        <f t="shared" si="2"/>
        <v/>
      </c>
    </row>
    <row r="188" spans="1:1">
      <c r="A188" s="161" t="str">
        <f t="shared" si="2"/>
        <v/>
      </c>
    </row>
    <row r="189" spans="1:1">
      <c r="A189" s="161" t="str">
        <f t="shared" si="2"/>
        <v/>
      </c>
    </row>
    <row r="190" spans="1:1">
      <c r="A190" s="161" t="str">
        <f t="shared" si="2"/>
        <v/>
      </c>
    </row>
    <row r="191" spans="1:1">
      <c r="A191" s="161" t="str">
        <f t="shared" si="2"/>
        <v/>
      </c>
    </row>
    <row r="192" spans="1:1">
      <c r="A192" s="161" t="str">
        <f t="shared" si="2"/>
        <v/>
      </c>
    </row>
    <row r="193" spans="1:1">
      <c r="A193" s="161" t="str">
        <f t="shared" si="2"/>
        <v/>
      </c>
    </row>
    <row r="194" spans="1:1">
      <c r="A194" s="161" t="str">
        <f t="shared" si="2"/>
        <v/>
      </c>
    </row>
    <row r="195" spans="1:1">
      <c r="A195" s="161" t="str">
        <f t="shared" si="2"/>
        <v/>
      </c>
    </row>
    <row r="196" spans="1:1">
      <c r="A196" s="161" t="str">
        <f t="shared" ref="A196:A251" si="3">IF(B196="","",A195+1)</f>
        <v/>
      </c>
    </row>
    <row r="197" spans="1:1">
      <c r="A197" s="161" t="str">
        <f t="shared" si="3"/>
        <v/>
      </c>
    </row>
    <row r="198" spans="1:1">
      <c r="A198" s="161" t="str">
        <f t="shared" si="3"/>
        <v/>
      </c>
    </row>
    <row r="199" spans="1:1">
      <c r="A199" s="161" t="str">
        <f t="shared" si="3"/>
        <v/>
      </c>
    </row>
    <row r="200" spans="1:1">
      <c r="A200" s="161" t="str">
        <f t="shared" si="3"/>
        <v/>
      </c>
    </row>
    <row r="201" spans="1:1">
      <c r="A201" s="161" t="str">
        <f t="shared" si="3"/>
        <v/>
      </c>
    </row>
    <row r="202" spans="1:1">
      <c r="A202" s="161" t="str">
        <f t="shared" si="3"/>
        <v/>
      </c>
    </row>
    <row r="203" spans="1:1">
      <c r="A203" s="161" t="str">
        <f t="shared" si="3"/>
        <v/>
      </c>
    </row>
    <row r="204" spans="1:1">
      <c r="A204" s="161" t="str">
        <f t="shared" si="3"/>
        <v/>
      </c>
    </row>
    <row r="205" spans="1:1">
      <c r="A205" s="161" t="str">
        <f t="shared" si="3"/>
        <v/>
      </c>
    </row>
    <row r="206" spans="1:1">
      <c r="A206" s="161" t="str">
        <f t="shared" si="3"/>
        <v/>
      </c>
    </row>
    <row r="207" spans="1:1">
      <c r="A207" s="161" t="str">
        <f t="shared" si="3"/>
        <v/>
      </c>
    </row>
    <row r="208" spans="1:1">
      <c r="A208" s="161" t="str">
        <f t="shared" si="3"/>
        <v/>
      </c>
    </row>
    <row r="209" spans="1:1">
      <c r="A209" s="161" t="str">
        <f t="shared" si="3"/>
        <v/>
      </c>
    </row>
    <row r="210" spans="1:1">
      <c r="A210" s="161" t="str">
        <f t="shared" si="3"/>
        <v/>
      </c>
    </row>
    <row r="211" spans="1:1">
      <c r="A211" s="161" t="str">
        <f t="shared" si="3"/>
        <v/>
      </c>
    </row>
    <row r="212" spans="1:1">
      <c r="A212" s="161" t="str">
        <f t="shared" si="3"/>
        <v/>
      </c>
    </row>
    <row r="213" spans="1:1">
      <c r="A213" s="161" t="str">
        <f t="shared" si="3"/>
        <v/>
      </c>
    </row>
    <row r="214" spans="1:1">
      <c r="A214" s="161" t="str">
        <f t="shared" si="3"/>
        <v/>
      </c>
    </row>
    <row r="215" spans="1:1">
      <c r="A215" s="161" t="str">
        <f t="shared" si="3"/>
        <v/>
      </c>
    </row>
    <row r="216" spans="1:1">
      <c r="A216" s="161" t="str">
        <f t="shared" si="3"/>
        <v/>
      </c>
    </row>
    <row r="217" spans="1:1">
      <c r="A217" s="161" t="str">
        <f t="shared" si="3"/>
        <v/>
      </c>
    </row>
    <row r="218" spans="1:1">
      <c r="A218" s="161" t="str">
        <f t="shared" si="3"/>
        <v/>
      </c>
    </row>
    <row r="219" spans="1:1">
      <c r="A219" s="161" t="str">
        <f t="shared" si="3"/>
        <v/>
      </c>
    </row>
    <row r="220" spans="1:1">
      <c r="A220" s="161" t="str">
        <f t="shared" si="3"/>
        <v/>
      </c>
    </row>
    <row r="221" spans="1:1">
      <c r="A221" s="161" t="str">
        <f t="shared" si="3"/>
        <v/>
      </c>
    </row>
    <row r="222" spans="1:1">
      <c r="A222" s="161" t="str">
        <f t="shared" si="3"/>
        <v/>
      </c>
    </row>
    <row r="223" spans="1:1">
      <c r="A223" s="161" t="str">
        <f t="shared" si="3"/>
        <v/>
      </c>
    </row>
    <row r="224" spans="1:1">
      <c r="A224" s="161" t="str">
        <f t="shared" si="3"/>
        <v/>
      </c>
    </row>
    <row r="225" spans="1:1">
      <c r="A225" s="161" t="str">
        <f t="shared" si="3"/>
        <v/>
      </c>
    </row>
    <row r="226" spans="1:1">
      <c r="A226" s="161" t="str">
        <f t="shared" si="3"/>
        <v/>
      </c>
    </row>
    <row r="227" spans="1:1">
      <c r="A227" s="161" t="str">
        <f t="shared" si="3"/>
        <v/>
      </c>
    </row>
    <row r="228" spans="1:1">
      <c r="A228" s="161" t="str">
        <f t="shared" si="3"/>
        <v/>
      </c>
    </row>
    <row r="229" spans="1:1">
      <c r="A229" s="161" t="str">
        <f t="shared" si="3"/>
        <v/>
      </c>
    </row>
    <row r="230" spans="1:1">
      <c r="A230" s="161" t="str">
        <f t="shared" si="3"/>
        <v/>
      </c>
    </row>
    <row r="231" spans="1:1">
      <c r="A231" s="161" t="str">
        <f t="shared" si="3"/>
        <v/>
      </c>
    </row>
    <row r="232" spans="1:1">
      <c r="A232" s="161" t="str">
        <f t="shared" si="3"/>
        <v/>
      </c>
    </row>
    <row r="233" spans="1:1">
      <c r="A233" s="161" t="str">
        <f t="shared" si="3"/>
        <v/>
      </c>
    </row>
    <row r="234" spans="1:1">
      <c r="A234" s="161" t="str">
        <f t="shared" si="3"/>
        <v/>
      </c>
    </row>
    <row r="235" spans="1:1">
      <c r="A235" s="161" t="str">
        <f t="shared" si="3"/>
        <v/>
      </c>
    </row>
    <row r="236" spans="1:1">
      <c r="A236" s="161" t="str">
        <f t="shared" si="3"/>
        <v/>
      </c>
    </row>
    <row r="237" spans="1:1">
      <c r="A237" s="161" t="str">
        <f t="shared" si="3"/>
        <v/>
      </c>
    </row>
    <row r="238" spans="1:1">
      <c r="A238" s="161" t="str">
        <f t="shared" si="3"/>
        <v/>
      </c>
    </row>
    <row r="239" spans="1:1">
      <c r="A239" s="161" t="str">
        <f t="shared" si="3"/>
        <v/>
      </c>
    </row>
    <row r="240" spans="1:1">
      <c r="A240" s="161" t="str">
        <f t="shared" si="3"/>
        <v/>
      </c>
    </row>
    <row r="241" spans="1:1">
      <c r="A241" s="161" t="str">
        <f t="shared" si="3"/>
        <v/>
      </c>
    </row>
    <row r="242" spans="1:1">
      <c r="A242" s="161" t="str">
        <f t="shared" si="3"/>
        <v/>
      </c>
    </row>
    <row r="243" spans="1:1">
      <c r="A243" s="161" t="str">
        <f t="shared" si="3"/>
        <v/>
      </c>
    </row>
    <row r="244" spans="1:1">
      <c r="A244" s="161" t="str">
        <f t="shared" si="3"/>
        <v/>
      </c>
    </row>
    <row r="245" spans="1:1">
      <c r="A245" s="161" t="str">
        <f t="shared" si="3"/>
        <v/>
      </c>
    </row>
    <row r="246" spans="1:1">
      <c r="A246" s="161" t="str">
        <f t="shared" si="3"/>
        <v/>
      </c>
    </row>
    <row r="247" spans="1:1">
      <c r="A247" s="161" t="str">
        <f t="shared" si="3"/>
        <v/>
      </c>
    </row>
    <row r="248" spans="1:1">
      <c r="A248" s="161" t="str">
        <f t="shared" si="3"/>
        <v/>
      </c>
    </row>
    <row r="249" spans="1:1">
      <c r="A249" s="161" t="str">
        <f t="shared" si="3"/>
        <v/>
      </c>
    </row>
    <row r="250" spans="1:1">
      <c r="A250" s="161" t="str">
        <f t="shared" si="3"/>
        <v/>
      </c>
    </row>
    <row r="251" spans="1:1">
      <c r="A251" s="161" t="str">
        <f t="shared" si="3"/>
        <v/>
      </c>
    </row>
  </sheetData>
  <conditionalFormatting sqref="C2:C1048576">
    <cfRule type="containsText" dxfId="1" priority="1" operator="containsText" text="Pending">
      <formula>NOT(ISERROR(SEARCH("Pending",C2)))</formula>
    </cfRule>
    <cfRule type="containsText" dxfId="0" priority="2" operator="containsText" text="Fixed">
      <formula>NOT(ISERROR(SEARCH("Fixed",C2)))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59999389629810485"/>
  </sheetPr>
  <dimension ref="A1:P18"/>
  <sheetViews>
    <sheetView showGridLines="0" workbookViewId="0">
      <selection activeCell="M11" sqref="M11"/>
    </sheetView>
  </sheetViews>
  <sheetFormatPr defaultColWidth="0" defaultRowHeight="15" zeroHeight="1"/>
  <cols>
    <col min="1" max="4" width="9.140625" customWidth="1"/>
    <col min="5" max="5" width="17.140625" customWidth="1"/>
    <col min="6" max="7" width="3.42578125" customWidth="1"/>
    <col min="8" max="8" width="17.28515625" customWidth="1"/>
    <col min="9" max="9" width="26.42578125" bestFit="1" customWidth="1"/>
    <col min="10" max="10" width="3.42578125" bestFit="1" customWidth="1"/>
    <col min="11" max="11" width="11" bestFit="1" customWidth="1"/>
    <col min="12" max="12" width="14.5703125" bestFit="1" customWidth="1"/>
    <col min="13" max="13" width="15.42578125" bestFit="1" customWidth="1"/>
    <col min="14" max="16" width="9.140625" customWidth="1"/>
    <col min="17" max="16384" width="9.140625" hidden="1"/>
  </cols>
  <sheetData>
    <row r="1" spans="2:15" ht="15.75" thickBot="1"/>
    <row r="2" spans="2:15">
      <c r="B2" s="208"/>
      <c r="C2" s="209"/>
      <c r="D2" s="209"/>
      <c r="E2" s="209"/>
      <c r="F2" s="209"/>
      <c r="G2" s="209"/>
      <c r="H2" s="209"/>
      <c r="I2" s="209"/>
      <c r="J2" s="209"/>
      <c r="K2" s="209"/>
      <c r="L2" s="209"/>
      <c r="M2" s="209"/>
      <c r="N2" s="210"/>
    </row>
    <row r="3" spans="2:15" ht="18">
      <c r="B3" s="211" t="s">
        <v>35</v>
      </c>
      <c r="C3" s="106"/>
      <c r="D3" s="106"/>
      <c r="E3" s="105"/>
      <c r="F3" s="106"/>
      <c r="G3" s="106"/>
      <c r="H3" s="106"/>
      <c r="I3" s="184" t="s">
        <v>1247</v>
      </c>
      <c r="J3" s="185">
        <v>1</v>
      </c>
      <c r="K3" s="186">
        <v>396</v>
      </c>
      <c r="L3" s="187">
        <f>K3*J3</f>
        <v>396</v>
      </c>
      <c r="M3" s="105"/>
      <c r="N3" s="212"/>
    </row>
    <row r="4" spans="2:15">
      <c r="B4" s="213"/>
      <c r="C4" s="253"/>
      <c r="D4" s="253"/>
      <c r="E4" s="254"/>
      <c r="F4" s="253"/>
      <c r="G4" s="253"/>
      <c r="H4" s="253"/>
      <c r="I4" s="254"/>
      <c r="J4" s="255"/>
      <c r="K4" s="256"/>
      <c r="L4" s="257"/>
      <c r="M4" s="254"/>
      <c r="N4" s="212"/>
    </row>
    <row r="5" spans="2:15" ht="15.75" thickBot="1">
      <c r="B5" s="214"/>
      <c r="C5" s="199" t="s">
        <v>15</v>
      </c>
      <c r="D5" s="200" t="s">
        <v>1322</v>
      </c>
      <c r="E5" s="200"/>
      <c r="F5" s="201"/>
      <c r="G5" s="201"/>
      <c r="H5" s="199"/>
      <c r="I5" s="200" t="s">
        <v>1300</v>
      </c>
      <c r="J5" s="202">
        <v>3</v>
      </c>
      <c r="K5" s="203">
        <v>132</v>
      </c>
      <c r="L5" s="204"/>
      <c r="M5" s="200" t="s">
        <v>1303</v>
      </c>
      <c r="N5" s="212"/>
    </row>
    <row r="6" spans="2:15">
      <c r="B6" s="214"/>
      <c r="C6" s="199"/>
      <c r="D6" s="221"/>
      <c r="E6" s="223" t="s">
        <v>1319</v>
      </c>
      <c r="F6" s="224" t="s">
        <v>1302</v>
      </c>
      <c r="G6" s="225"/>
      <c r="H6" s="226"/>
      <c r="I6" s="227" t="s">
        <v>1315</v>
      </c>
      <c r="J6" s="228">
        <v>3</v>
      </c>
      <c r="K6" s="229">
        <v>24</v>
      </c>
      <c r="L6" s="230"/>
      <c r="M6" s="231" t="s">
        <v>1304</v>
      </c>
      <c r="N6" s="212"/>
    </row>
    <row r="7" spans="2:15">
      <c r="B7" s="214"/>
      <c r="C7" s="199"/>
      <c r="D7" s="221"/>
      <c r="E7" s="232"/>
      <c r="F7" s="222"/>
      <c r="G7" s="205" t="s">
        <v>1305</v>
      </c>
      <c r="H7" s="206" t="s">
        <v>1306</v>
      </c>
      <c r="I7" s="220" t="s">
        <v>1300</v>
      </c>
      <c r="J7" s="207">
        <v>3</v>
      </c>
      <c r="K7" s="219">
        <v>4</v>
      </c>
      <c r="L7" s="218" t="s">
        <v>1307</v>
      </c>
      <c r="M7" s="233" t="s">
        <v>1308</v>
      </c>
      <c r="N7" s="212"/>
    </row>
    <row r="8" spans="2:15" ht="15.75" thickBot="1">
      <c r="B8" s="214"/>
      <c r="C8" s="199"/>
      <c r="D8" s="221"/>
      <c r="E8" s="234"/>
      <c r="F8" s="235"/>
      <c r="G8" s="236" t="s">
        <v>1309</v>
      </c>
      <c r="H8" s="237" t="s">
        <v>1228</v>
      </c>
      <c r="I8" s="238" t="s">
        <v>1300</v>
      </c>
      <c r="J8" s="239">
        <v>3</v>
      </c>
      <c r="K8" s="240">
        <v>4</v>
      </c>
      <c r="L8" s="241" t="s">
        <v>1307</v>
      </c>
      <c r="M8" s="242" t="s">
        <v>1310</v>
      </c>
      <c r="N8" s="212"/>
    </row>
    <row r="9" spans="2:15" ht="15.75" thickBot="1">
      <c r="B9" s="213"/>
      <c r="C9" s="199"/>
      <c r="D9" s="221"/>
      <c r="E9" s="243" t="s">
        <v>1320</v>
      </c>
      <c r="F9" s="244" t="s">
        <v>1311</v>
      </c>
      <c r="G9" s="245"/>
      <c r="H9" s="246"/>
      <c r="I9" s="247" t="s">
        <v>4</v>
      </c>
      <c r="J9" s="248">
        <v>3</v>
      </c>
      <c r="K9" s="249">
        <v>4</v>
      </c>
      <c r="L9" s="250" t="s">
        <v>1307</v>
      </c>
      <c r="M9" s="251" t="s">
        <v>1312</v>
      </c>
      <c r="N9" s="212"/>
    </row>
    <row r="10" spans="2:15" ht="15.75" thickBot="1">
      <c r="B10" s="213"/>
      <c r="C10" s="199"/>
      <c r="D10" s="221"/>
      <c r="E10" s="243" t="s">
        <v>1313</v>
      </c>
      <c r="F10" s="244" t="s">
        <v>1311</v>
      </c>
      <c r="G10" s="245"/>
      <c r="H10" s="246"/>
      <c r="I10" s="247" t="s">
        <v>1301</v>
      </c>
      <c r="J10" s="248">
        <v>3</v>
      </c>
      <c r="K10" s="249">
        <v>4</v>
      </c>
      <c r="L10" s="250" t="s">
        <v>1307</v>
      </c>
      <c r="M10" s="251" t="s">
        <v>1314</v>
      </c>
      <c r="N10" s="212"/>
    </row>
    <row r="11" spans="2:15">
      <c r="B11" s="213"/>
      <c r="C11" s="199"/>
      <c r="D11" s="221"/>
      <c r="E11" s="223" t="s">
        <v>1321</v>
      </c>
      <c r="F11" s="224" t="s">
        <v>1302</v>
      </c>
      <c r="G11" s="225"/>
      <c r="H11" s="226"/>
      <c r="I11" s="227" t="s">
        <v>1315</v>
      </c>
      <c r="J11" s="228">
        <v>3</v>
      </c>
      <c r="K11" s="229">
        <v>12</v>
      </c>
      <c r="L11" s="230"/>
      <c r="M11" s="231" t="s">
        <v>1316</v>
      </c>
      <c r="N11" s="212"/>
    </row>
    <row r="12" spans="2:15">
      <c r="B12" s="213"/>
      <c r="C12" s="199"/>
      <c r="D12" s="221"/>
      <c r="E12" s="232"/>
      <c r="F12" s="222"/>
      <c r="G12" s="205" t="s">
        <v>1317</v>
      </c>
      <c r="H12" s="206" t="s">
        <v>1104</v>
      </c>
      <c r="I12" s="220" t="s">
        <v>1300</v>
      </c>
      <c r="J12" s="207">
        <v>3</v>
      </c>
      <c r="K12" s="219">
        <v>4</v>
      </c>
      <c r="L12" s="218" t="s">
        <v>1307</v>
      </c>
      <c r="M12" s="233" t="s">
        <v>1318</v>
      </c>
      <c r="N12" s="212"/>
    </row>
    <row r="13" spans="2:15" ht="15.75" thickBot="1">
      <c r="B13" s="215"/>
      <c r="C13" s="199"/>
      <c r="D13" s="221"/>
      <c r="E13" s="234"/>
      <c r="F13" s="235"/>
      <c r="G13" s="236" t="s">
        <v>1309</v>
      </c>
      <c r="H13" s="237" t="s">
        <v>1228</v>
      </c>
      <c r="I13" s="238" t="s">
        <v>1300</v>
      </c>
      <c r="J13" s="239">
        <v>3</v>
      </c>
      <c r="K13" s="240">
        <v>4</v>
      </c>
      <c r="L13" s="241" t="s">
        <v>1307</v>
      </c>
      <c r="M13" s="242" t="s">
        <v>1310</v>
      </c>
      <c r="N13" s="212"/>
    </row>
    <row r="14" spans="2:15" ht="15.75" thickBot="1">
      <c r="B14" s="216"/>
      <c r="C14" s="258"/>
      <c r="D14" s="258"/>
      <c r="E14" s="258"/>
      <c r="F14" s="258"/>
      <c r="G14" s="258"/>
      <c r="H14" s="258"/>
      <c r="I14" s="258"/>
      <c r="J14" s="258"/>
      <c r="K14" s="258"/>
      <c r="L14" s="258"/>
      <c r="M14" s="258"/>
      <c r="N14" s="217"/>
    </row>
    <row r="15" spans="2:15"/>
    <row r="16" spans="2:15" ht="19.5" customHeight="1">
      <c r="B16" s="288" t="s">
        <v>1329</v>
      </c>
      <c r="C16" s="289"/>
      <c r="D16" s="289"/>
      <c r="E16" s="289"/>
      <c r="F16" s="289"/>
      <c r="G16" s="289"/>
      <c r="H16" s="289"/>
      <c r="I16" s="289"/>
      <c r="J16" s="289"/>
      <c r="K16" s="289"/>
      <c r="L16" s="289"/>
      <c r="M16" s="289"/>
      <c r="N16" s="289"/>
      <c r="O16" s="289"/>
    </row>
    <row r="17" spans="2:15" ht="19.5" customHeight="1">
      <c r="B17" s="289"/>
      <c r="C17" s="289"/>
      <c r="D17" s="289"/>
      <c r="E17" s="289"/>
      <c r="F17" s="289"/>
      <c r="G17" s="289"/>
      <c r="H17" s="289"/>
      <c r="I17" s="289"/>
      <c r="J17" s="289"/>
      <c r="K17" s="289"/>
      <c r="L17" s="289"/>
      <c r="M17" s="289"/>
      <c r="N17" s="289"/>
      <c r="O17" s="289"/>
    </row>
    <row r="18" spans="2:15"/>
  </sheetData>
  <sheetProtection password="A565" sheet="1" objects="1" scenarios="1"/>
  <mergeCells count="1">
    <mergeCell ref="B16:O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2</vt:i4>
      </vt:variant>
    </vt:vector>
  </HeadingPairs>
  <TitlesOfParts>
    <vt:vector size="7" baseType="lpstr">
      <vt:lpstr>Car</vt:lpstr>
      <vt:lpstr>BOM</vt:lpstr>
      <vt:lpstr>Guidelines</vt:lpstr>
      <vt:lpstr>Macros</vt:lpstr>
      <vt:lpstr>Example</vt:lpstr>
      <vt:lpstr>CarNo</vt:lpstr>
      <vt:lpstr>Systems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Constantina Gouliermi</dc:creator>
  <cp:lastModifiedBy>CASPER</cp:lastModifiedBy>
  <cp:lastPrinted>2018-02-12T08:16:34Z</cp:lastPrinted>
  <dcterms:created xsi:type="dcterms:W3CDTF">2017-12-13T17:40:36Z</dcterms:created>
  <dcterms:modified xsi:type="dcterms:W3CDTF">2018-04-16T22:05:18Z</dcterms:modified>
</cp:coreProperties>
</file>