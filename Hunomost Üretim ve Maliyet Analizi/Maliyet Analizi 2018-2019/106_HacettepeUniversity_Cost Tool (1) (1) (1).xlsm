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showInkAnnotation="0" codeName="ThisWorkbook" defaultThemeVersion="124226"/>
  <mc:AlternateContent xmlns:mc="http://schemas.openxmlformats.org/markup-compatibility/2006">
    <mc:Choice Requires="x15">
      <x15ac:absPath xmlns:x15ac="http://schemas.microsoft.com/office/spreadsheetml/2010/11/ac" url="C:\Users\CASPER\Desktop\Şamil Savaş\Şamil Hacettepe Üniversitesi\Hunomost Üretim ve Maliyet Analizi\Maliyet Analizi 2018-2019\"/>
    </mc:Choice>
  </mc:AlternateContent>
  <xr:revisionPtr revIDLastSave="0" documentId="13_ncr:1_{5343C1B5-2B89-4B76-90B2-8EFA271AD7FA}" xr6:coauthVersionLast="40" xr6:coauthVersionMax="40" xr10:uidLastSave="{00000000-0000-0000-0000-000000000000}"/>
  <bookViews>
    <workbookView xWindow="0" yWindow="0" windowWidth="20490" windowHeight="7560" activeTab="1" xr2:uid="{00000000-000D-0000-FFFF-FFFF00000000}"/>
  </bookViews>
  <sheets>
    <sheet name="Car" sheetId="4" r:id="rId1"/>
    <sheet name="BOM" sheetId="1" r:id="rId2"/>
    <sheet name="Guidelines" sheetId="13" r:id="rId3"/>
    <sheet name="Macros" sheetId="14" r:id="rId4"/>
    <sheet name="Entry" sheetId="7" state="veryHidden" r:id="rId5"/>
    <sheet name="DB" sheetId="2" state="veryHidden" r:id="rId6"/>
    <sheet name="Data" sheetId="10" state="veryHidden" r:id="rId7"/>
    <sheet name="Coding" sheetId="12" state="veryHidden" r:id="rId8"/>
    <sheet name="Bugs" sheetId="15" state="veryHidden" r:id="rId9"/>
    <sheet name="Example" sheetId="16" r:id="rId10"/>
  </sheets>
  <functionGroups builtInGroupCount="19"/>
  <definedNames>
    <definedName name="CarNo">Car!$H$2</definedName>
    <definedName name="Systems">DB!$C$3:$C$10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16" l="1"/>
  <c r="K969" i="1" l="1"/>
  <c r="K78" i="1" l="1"/>
  <c r="K1623" i="1"/>
  <c r="K1318" i="1"/>
  <c r="K1139" i="1"/>
  <c r="K1060" i="1"/>
  <c r="K499" i="1"/>
  <c r="A10" i="15" l="1"/>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3" i="15"/>
  <c r="A4" i="15" s="1"/>
  <c r="A5" i="15" s="1"/>
  <c r="A6" i="15" s="1"/>
  <c r="A7" i="15" s="1"/>
  <c r="A8" i="15" s="1"/>
  <c r="A9" i="15" s="1"/>
  <c r="K4" i="1" l="1"/>
  <c r="E11" i="2" l="1"/>
  <c r="D11" i="2"/>
  <c r="D10" i="2"/>
  <c r="D9" i="2"/>
  <c r="D8" i="2"/>
  <c r="D7" i="2"/>
  <c r="D6" i="2"/>
  <c r="D5" i="2"/>
  <c r="D4" i="2"/>
  <c r="D3" i="2"/>
  <c r="E10" i="2" l="1"/>
  <c r="E9" i="2"/>
  <c r="E8" i="2"/>
  <c r="E7" i="2"/>
  <c r="E6" i="2"/>
  <c r="E5" i="2"/>
  <c r="E4" i="2"/>
  <c r="E3" i="2"/>
</calcChain>
</file>

<file path=xl/sharedStrings.xml><?xml version="1.0" encoding="utf-8"?>
<sst xmlns="http://schemas.openxmlformats.org/spreadsheetml/2006/main" count="7728" uniqueCount="4106">
  <si>
    <t>System</t>
  </si>
  <si>
    <t>Assembly</t>
  </si>
  <si>
    <t>Part</t>
  </si>
  <si>
    <t>Make/Buy</t>
  </si>
  <si>
    <t>Comments</t>
  </si>
  <si>
    <t>Qt</t>
  </si>
  <si>
    <t>Cost [Calculated]</t>
  </si>
  <si>
    <t>Cost Comments</t>
  </si>
  <si>
    <t>ID</t>
  </si>
  <si>
    <t>SU</t>
  </si>
  <si>
    <t>P/M/F/T</t>
  </si>
  <si>
    <t>BR</t>
  </si>
  <si>
    <t>EN</t>
  </si>
  <si>
    <t>FR</t>
  </si>
  <si>
    <t>EL</t>
  </si>
  <si>
    <t>MS</t>
  </si>
  <si>
    <t>ST</t>
  </si>
  <si>
    <t>BRAKES</t>
  </si>
  <si>
    <t>ELECTRICAL</t>
  </si>
  <si>
    <t>Brake Discs</t>
  </si>
  <si>
    <t>Pedals</t>
  </si>
  <si>
    <t>Shifter</t>
  </si>
  <si>
    <t>Springs</t>
  </si>
  <si>
    <t>Radiator</t>
  </si>
  <si>
    <t>Mounts Integral to Frame</t>
  </si>
  <si>
    <t>Fasteners</t>
  </si>
  <si>
    <t>Tie Rods</t>
  </si>
  <si>
    <t>Air Filter</t>
  </si>
  <si>
    <t>Carburetor</t>
  </si>
  <si>
    <t>Fuel Filter</t>
  </si>
  <si>
    <t>WT</t>
  </si>
  <si>
    <t>Systems</t>
  </si>
  <si>
    <t>Assemblies</t>
  </si>
  <si>
    <t>System Code</t>
  </si>
  <si>
    <t>ENGINE &amp; DRIVETRAIN</t>
  </si>
  <si>
    <t>MISCELLANEOUS, FIT, FINISH &amp; ASSEMBLY</t>
  </si>
  <si>
    <t>STEERING SYSTEM</t>
  </si>
  <si>
    <t>SUSPENSION SYSTEM</t>
  </si>
  <si>
    <t>WHEELS, WHEEL BEARINGS AND TIRES</t>
  </si>
  <si>
    <t>DRIVERLESS</t>
  </si>
  <si>
    <t>DV</t>
  </si>
  <si>
    <t>Balance Bar</t>
  </si>
  <si>
    <t>Brake Fluid</t>
  </si>
  <si>
    <t>Brake Lines</t>
  </si>
  <si>
    <t>Brake Master Cylinder</t>
  </si>
  <si>
    <t>Brake Pads</t>
  </si>
  <si>
    <t>Calipers</t>
  </si>
  <si>
    <t>Proportioning Valve</t>
  </si>
  <si>
    <t>Axles</t>
  </si>
  <si>
    <t>CV Joints/U Joints</t>
  </si>
  <si>
    <t>Chain/ Belt</t>
  </si>
  <si>
    <t>Coolant</t>
  </si>
  <si>
    <t>Coolant Lines</t>
  </si>
  <si>
    <t>Differential</t>
  </si>
  <si>
    <t>Differential Bearings</t>
  </si>
  <si>
    <t>Differential Mounts</t>
  </si>
  <si>
    <t>Engine/Diff Oil</t>
  </si>
  <si>
    <t>Exhaust Manifold</t>
  </si>
  <si>
    <t>Fuel Injectors</t>
  </si>
  <si>
    <t>Fuel Lines/Rails</t>
  </si>
  <si>
    <t>Fuel Pressure Reg.</t>
  </si>
  <si>
    <t>Fuel Pump</t>
  </si>
  <si>
    <t>Fuel Tank  - NOT the HV Battery</t>
  </si>
  <si>
    <t>Fuel Vent /Check Valve</t>
  </si>
  <si>
    <t>Hose Clamps</t>
  </si>
  <si>
    <t>Intake Manifold</t>
  </si>
  <si>
    <t>Muffler</t>
  </si>
  <si>
    <t>Oil Cooler</t>
  </si>
  <si>
    <t>Overflow Bottles</t>
  </si>
  <si>
    <t>Radiator Fans</t>
  </si>
  <si>
    <t>Restrictor</t>
  </si>
  <si>
    <t>Shields</t>
  </si>
  <si>
    <t>Sprocket/Pulleys</t>
  </si>
  <si>
    <t>Throttle Body</t>
  </si>
  <si>
    <t>Turbo/Super Charger</t>
  </si>
  <si>
    <t>Aerodynamic Wing</t>
  </si>
  <si>
    <t>Body Attachments</t>
  </si>
  <si>
    <t>Body Material</t>
  </si>
  <si>
    <t>Body Processing</t>
  </si>
  <si>
    <t>Clutch</t>
  </si>
  <si>
    <t>Floor Pan</t>
  </si>
  <si>
    <t>Frame/Frame Tubes</t>
  </si>
  <si>
    <t>Shifter Cable/Linkage</t>
  </si>
  <si>
    <t>Throttle Controls</t>
  </si>
  <si>
    <t>Tube End Preps</t>
  </si>
  <si>
    <t>Tube Cuts/Bends</t>
  </si>
  <si>
    <t>Brake Light</t>
  </si>
  <si>
    <t>Bulbs</t>
  </si>
  <si>
    <t>Dash Panel</t>
  </si>
  <si>
    <t>ECM/ Engine Electronics</t>
  </si>
  <si>
    <t>Fuses</t>
  </si>
  <si>
    <t>HV-Battery</t>
  </si>
  <si>
    <t>Indicator Lights</t>
  </si>
  <si>
    <t>Kill Switch</t>
  </si>
  <si>
    <t>LV-Battery</t>
  </si>
  <si>
    <t>Oil Pressure Gage/Light</t>
  </si>
  <si>
    <t>Relays</t>
  </si>
  <si>
    <t>Solenoids</t>
  </si>
  <si>
    <t>Starter Button</t>
  </si>
  <si>
    <t>Tachometer</t>
  </si>
  <si>
    <t>Water Temperature Gage</t>
  </si>
  <si>
    <t>Wire Harness/Connectors</t>
  </si>
  <si>
    <t>Driver's Harness</t>
  </si>
  <si>
    <t>Fire Wall</t>
  </si>
  <si>
    <t>Headrest/Restraints</t>
  </si>
  <si>
    <t>Mirrors</t>
  </si>
  <si>
    <t>Paint-Body</t>
  </si>
  <si>
    <t>Paint-Frame</t>
  </si>
  <si>
    <t>Seats</t>
  </si>
  <si>
    <t>Steering Rack</t>
  </si>
  <si>
    <t>Steering Shaft</t>
  </si>
  <si>
    <t>Steering Wheel</t>
  </si>
  <si>
    <t>Steering Wheel Quick Release</t>
  </si>
  <si>
    <t>Bell Cranks</t>
  </si>
  <si>
    <t>Front A/Arms or Equivalent</t>
  </si>
  <si>
    <t>Front Uprights</t>
  </si>
  <si>
    <t>Pushrods/Pullrods</t>
  </si>
  <si>
    <t>Rear A/Arms or Equivalent</t>
  </si>
  <si>
    <t>Rear Uprights</t>
  </si>
  <si>
    <t>Rod Ends</t>
  </si>
  <si>
    <t>Suspension Mechanism</t>
  </si>
  <si>
    <t>Shocks Front</t>
  </si>
  <si>
    <t>Front Hubs</t>
  </si>
  <si>
    <t>Lug Nuts</t>
  </si>
  <si>
    <t>Rear Hubs</t>
  </si>
  <si>
    <t>Tires</t>
  </si>
  <si>
    <t>Valve Stems</t>
  </si>
  <si>
    <t>Wheel Bearings</t>
  </si>
  <si>
    <t>Wheel Studs</t>
  </si>
  <si>
    <t>Wheel Weights</t>
  </si>
  <si>
    <t xml:space="preserve">Wheels </t>
  </si>
  <si>
    <t>MIN</t>
  </si>
  <si>
    <t>MAX</t>
  </si>
  <si>
    <t>FRAM &amp; BODY</t>
  </si>
  <si>
    <t>Car No</t>
  </si>
  <si>
    <t>University</t>
  </si>
  <si>
    <t>Team Name</t>
  </si>
  <si>
    <t>Bearing Ball, Steel</t>
  </si>
  <si>
    <t>Bearing, Ball, Angular Contact</t>
  </si>
  <si>
    <t>Bearing, Ball, Deep Groove</t>
  </si>
  <si>
    <t>Bearing, Ball, Radial</t>
  </si>
  <si>
    <t>Bearing, Cylindrical Roller</t>
  </si>
  <si>
    <t>Bearing, Double Row, Ball, Angular Contact</t>
  </si>
  <si>
    <t>Bearing, Double Row, Ball, Deep Groove</t>
  </si>
  <si>
    <t>Bearing, Double Row, Ball, Radial</t>
  </si>
  <si>
    <t>Bearing, Linear, Closed</t>
  </si>
  <si>
    <t>Bearing, Linear, Open</t>
  </si>
  <si>
    <t>Bearing, Needle</t>
  </si>
  <si>
    <t>Fluid</t>
  </si>
  <si>
    <t>Bearing, Spherical</t>
  </si>
  <si>
    <t>Bearing, Tapered Needle</t>
  </si>
  <si>
    <t>Bearing, Tapered Roller</t>
  </si>
  <si>
    <t>Bearing, Thrust Needle Roller, Cage Assembly</t>
  </si>
  <si>
    <t>Bearing, Thrust Needle Roller, Washers</t>
  </si>
  <si>
    <t>Bushing, Student Built</t>
  </si>
  <si>
    <t>Rod End, Aluminum</t>
  </si>
  <si>
    <t>Rod End, Industrial</t>
  </si>
  <si>
    <t>Rod End, Suspension</t>
  </si>
  <si>
    <t>Wheel Bearing, Ball, Angular Contact</t>
  </si>
  <si>
    <t>Wheel Bearing, Ball, Deep Groove</t>
  </si>
  <si>
    <t>Wheel Bearing, Ball, Radial</t>
  </si>
  <si>
    <t>Wheel Bearing, Double Row, Ball, Angular Contact</t>
  </si>
  <si>
    <t>Wheel Bearing, Double Row, Ball, Deep Groove</t>
  </si>
  <si>
    <t>Wheel Bearing, Double Row, Ball, Radial</t>
  </si>
  <si>
    <t>Wheel Bearing, Tapered Needle</t>
  </si>
  <si>
    <t>Wheel Bearing, Tapered Roller</t>
  </si>
  <si>
    <t>90-Degree Coupler, Tilton 72-560</t>
  </si>
  <si>
    <t>90-Degree Coupler, Tilton 72-561</t>
  </si>
  <si>
    <t>90-Degree Coupler, Tilton 72-562</t>
  </si>
  <si>
    <t>ABS Kit, Bosch, M4 Kit 1</t>
  </si>
  <si>
    <t>ABS Kit, Bosch, M4 Kit 2</t>
  </si>
  <si>
    <t>ABS Kit and ESP Module, Bosch, ESP-9</t>
  </si>
  <si>
    <t>Balance Bar Cable Adjuster, Racetech, Any BBAxx series</t>
  </si>
  <si>
    <t>Balance Bar Cable Adjuster, Right Angle Drive, AP CP5500-10</t>
  </si>
  <si>
    <t>Balance Bar Cable Adjuster, Sandtler, 128154</t>
  </si>
  <si>
    <t>Balance Bar, AP, CP5500-9</t>
  </si>
  <si>
    <t>Balance Bar, AP, CP5520-4</t>
  </si>
  <si>
    <t>Balance Bar, Brake, Student Built</t>
  </si>
  <si>
    <t>Balance Bar, OBP,OBPCB010</t>
  </si>
  <si>
    <t>Balance Bar, Sandtler, 128153</t>
  </si>
  <si>
    <t>Balance Bar, Sandtler, 128154</t>
  </si>
  <si>
    <t xml:space="preserve">Balance Bar, Tilton, 72-250 </t>
  </si>
  <si>
    <t>Balance Bar, Tilton, 72-260</t>
  </si>
  <si>
    <t>Balance Bar, Tilton, 72-280</t>
  </si>
  <si>
    <t>Balance Bar, Tilton, 72-281</t>
  </si>
  <si>
    <t>Balance Bar, Tilton, 72-300</t>
  </si>
  <si>
    <t>Balance Bar, Timms Autoteile, 013 901</t>
  </si>
  <si>
    <t>Balance Bar, Wilwood, 340-4745</t>
  </si>
  <si>
    <t>Brake Caliper Piston, Student Built</t>
  </si>
  <si>
    <t>Brake Caliper,  Harrison, 121019P</t>
  </si>
  <si>
    <t>Brake Caliper, AP, CP2577</t>
  </si>
  <si>
    <t>Brake Caliper, AP, CP3696-6E0</t>
  </si>
  <si>
    <t>Brake Caliper, AP, CP4226</t>
  </si>
  <si>
    <t>Brake Caliper, AP, CP4227</t>
  </si>
  <si>
    <t>Brake Caliper, AP, CP4488</t>
  </si>
  <si>
    <t>Brake Caliper, AP, CP7003</t>
  </si>
  <si>
    <t>Brake Caliper, AP, CP7853</t>
  </si>
  <si>
    <t>Brake Caliper, Beringer, 2D1</t>
  </si>
  <si>
    <t>Brake Caliper, Beringer, 4H02</t>
  </si>
  <si>
    <t>Brake Caliper, Beringer, 4H12</t>
  </si>
  <si>
    <t>Brake Caliper, Brembo, 20.5161.46/P32F</t>
  </si>
  <si>
    <t>Brake Caliper, Brembo, 20.6001/P2-24</t>
  </si>
  <si>
    <t>Brake Caliper, Brembo, 20.6101/GP4-24</t>
  </si>
  <si>
    <t>Brake Caliper, Brembo, 20.6950.10</t>
  </si>
  <si>
    <t>Brake Caliper, Brembo, 20.6950.11/P32G</t>
  </si>
  <si>
    <t>Brake Caliper, Brembo, 20.6950.21/P32G</t>
  </si>
  <si>
    <t>Brake Caliper, Brembo, 20.6951.12/P34G</t>
  </si>
  <si>
    <t>Brake Caliper, Brembo, 20.6951.50/P34C</t>
  </si>
  <si>
    <t>Brake Caliper, Brembo, 20.6960.10/P30G</t>
  </si>
  <si>
    <t>Brake Caliper, Comet 650, Front</t>
  </si>
  <si>
    <t>Brake Caliper, Formula-Italy, MTC 350cc</t>
  </si>
  <si>
    <t>Brake Caliper, Harrison, 222004P</t>
  </si>
  <si>
    <t>Brake Caliper, Harrison, 222005P</t>
  </si>
  <si>
    <t>Brake Caliper, Honda,  45150-HP1-006</t>
  </si>
  <si>
    <t>Brake Caliper, Honda, 45150-HN6-006</t>
  </si>
  <si>
    <t>Brake Caliper, ISR, 22-028</t>
  </si>
  <si>
    <t>Brake Caliper, ISR, 22-034</t>
  </si>
  <si>
    <t>Brake Caliper, ISR, 22-036</t>
  </si>
  <si>
    <t>Brake Caliper, ISR, 22-048</t>
  </si>
  <si>
    <t>Brake Caliper, ISR, 22-049</t>
  </si>
  <si>
    <t>Brake Caliper, ISR, 22-050-OA</t>
  </si>
  <si>
    <t>Brake Caliper, Magura, 908.1</t>
  </si>
  <si>
    <t>Brake Caliper, Motorcycle, OEM (Any)</t>
  </si>
  <si>
    <t>Brake Caliper, NISSIN, 08-1CP-32-15</t>
  </si>
  <si>
    <t>Brake Caliper, NISSIN, 08-2CP-25-08</t>
  </si>
  <si>
    <t>Brake Caliper, NISSIN, 08-2CT-25-06</t>
  </si>
  <si>
    <t>Brake Caliper, NISSIN, 08-2CT-38-07</t>
  </si>
  <si>
    <t>Brake Caliper, Polaris, 1910825/1910826</t>
  </si>
  <si>
    <t>Brake Caliper, Pretech, P400</t>
  </si>
  <si>
    <t>Brake Caliper, PVM, 2-Piston Monoblock Radial Mount</t>
  </si>
  <si>
    <t>Brake Caliper, PVM, 6-piston Monoblock Radial Mount</t>
  </si>
  <si>
    <t>Brake Caliper, PVM, Front 4-Piston Monoblock Radial Mount</t>
  </si>
  <si>
    <t>Brake Caliper, PVM, Rear 4-Piston Monoblock Radial Mount</t>
  </si>
  <si>
    <t>Brake Caliper, Red Devil,240 Sprint</t>
  </si>
  <si>
    <t>Brake Caliper, Spiegler, S070</t>
  </si>
  <si>
    <t>Brake Caliper, Spiegler, S108</t>
  </si>
  <si>
    <t>Brake Caliper, Student Built</t>
  </si>
  <si>
    <t>Brake Caliper, Tokico, 45150-MEL-023</t>
  </si>
  <si>
    <t>Brake Caliper, Wilwood, Billet Dynalite Side Inlet 120-5081</t>
  </si>
  <si>
    <t>Brake Caliper, Wilwood, Billet Dynalite Single</t>
  </si>
  <si>
    <t>Brake Caliper, Wilwood, Billet NDL</t>
  </si>
  <si>
    <t>Brake Caliper, Wilwood, Dynalite Single Floater</t>
  </si>
  <si>
    <t>Brake Caliper, Wilwood, DynaPro Radial</t>
  </si>
  <si>
    <t>Brake Caliper, Wilwood, DynaPro Single</t>
  </si>
  <si>
    <t>Brake Caliper, Wilwood, Forged Dynalite</t>
  </si>
  <si>
    <t>Brake Caliper, Wilwood, GP200</t>
  </si>
  <si>
    <t>Brake Caliper, Wilwood, GP310</t>
  </si>
  <si>
    <t>Brake Caliper, Wilwood, GP320</t>
  </si>
  <si>
    <t>Brake Caliper, Wilwood, Kart</t>
  </si>
  <si>
    <t>Brake Caliper, Wilwood, NDL</t>
  </si>
  <si>
    <t>Brake Caliper, Wilwood, PS-1</t>
  </si>
  <si>
    <t>Brake Caliper, Yamaha (YZF 450), 5TG-2580T-00-00</t>
  </si>
  <si>
    <t>Brake Hard Line, Any Material (All Cost as Made)</t>
  </si>
  <si>
    <t>Brake Light Pressure Switch Banjo Bolt</t>
  </si>
  <si>
    <t>Brake Pad, Aluminum or MMC Rotor</t>
  </si>
  <si>
    <t>Brake Pad, Carbon Rotor</t>
  </si>
  <si>
    <t>Brake Pad, Iron or Steel Rotor</t>
  </si>
  <si>
    <t>Brake Rotor (All Cost as Made)</t>
  </si>
  <si>
    <t>Hydraulic Fluid Reservoir, Remote (Plastic)</t>
  </si>
  <si>
    <t>Master Cyilnder, ISR, 21-010-OE</t>
  </si>
  <si>
    <t>Master Cylinder, AP, CP2623</t>
  </si>
  <si>
    <t>Master Cylinder, AP, CP3756</t>
  </si>
  <si>
    <t>Master Cylinder, AP, CP4400</t>
  </si>
  <si>
    <t>Master Cylinder, AP, CP4623</t>
  </si>
  <si>
    <t>Master Cylinder, AP, CP5854</t>
  </si>
  <si>
    <t>Master Cylinder, AP, CP5855</t>
  </si>
  <si>
    <t>Master Cylinder, AP, CP6465</t>
  </si>
  <si>
    <t>Master Cylinder, AP, CP7855</t>
  </si>
  <si>
    <t>Master Cylinder, Beck Arnley, 072-9455</t>
  </si>
  <si>
    <t>Master Cylinder, Beringer MC12.7 x 22</t>
  </si>
  <si>
    <t>Master Cylinder, Brembo, 10.4776.10</t>
  </si>
  <si>
    <t>Master Cylinder, Brembo, 10.4776.20</t>
  </si>
  <si>
    <t>Master Cylinder, Brembo, 10.4776.65</t>
  </si>
  <si>
    <t>Master Cylinder, Brembo, XA3.G1.A2/L2</t>
  </si>
  <si>
    <t>Master Cylinder, Brembo, XA6.C2.3</t>
  </si>
  <si>
    <t>Master Cylinder, Bremob, 10.6815.16/97</t>
  </si>
  <si>
    <t>Master Cylinder, Bremob, 10.9243.54/96</t>
  </si>
  <si>
    <t>Master Cylinder, Centric Parts, CE130.51017</t>
  </si>
  <si>
    <t>Master Cylinder, Girling</t>
  </si>
  <si>
    <t>Master Cylinder, Honda CBR600F4i, 43510MBW006</t>
  </si>
  <si>
    <t>Master Cylinder, Hyundai Mobis, 41610-2D100</t>
  </si>
  <si>
    <t>Master Cylinder, Magura, 10.5mm</t>
  </si>
  <si>
    <t>Master Cylinder, Magura, 770.1</t>
  </si>
  <si>
    <t>Master Cylinder, Magura, 770.50</t>
  </si>
  <si>
    <t>Master Cylinder, New Concept Products, G3</t>
  </si>
  <si>
    <t>Master Cylinder, NISSIN, 08-2RM-14-02</t>
  </si>
  <si>
    <t>Master Cylinder, NISSIN, 08-4RM-15-05</t>
  </si>
  <si>
    <t>Master cylinder, Nissin, 153-M00-125B</t>
  </si>
  <si>
    <t>Master Cylinder, Student Made</t>
  </si>
  <si>
    <t>Master Cylinder, Suzuki OEM 69600-16G00</t>
  </si>
  <si>
    <t>Master Cylinder, Tilton, Model 73</t>
  </si>
  <si>
    <t>Master Cylinder, Tilton, Model 74</t>
  </si>
  <si>
    <t>Master Cylinder, Tilton, Model 75</t>
  </si>
  <si>
    <t>Master Cylinder, Tilton, Model 76</t>
  </si>
  <si>
    <t>Master Cylinder, Tilton, Model 77</t>
  </si>
  <si>
    <t>Master Cylinder, Tonykart, BS5 0029.E0</t>
  </si>
  <si>
    <t>Master Cylinder, Tripmatic &amp; Speed 18771</t>
  </si>
  <si>
    <t>Master Cylinder, Wilwood, 260-10371</t>
  </si>
  <si>
    <t>Master Cylinder, Wilwood, 260-10373</t>
  </si>
  <si>
    <t>Master Cylinder, Wilwood, 260-1304</t>
  </si>
  <si>
    <t>Master Cylinder, Wilwood, 260-2636</t>
  </si>
  <si>
    <t>Master Cylinder, Wilwood, 260-4201</t>
  </si>
  <si>
    <t>Master Cylinder, Wilwood, 260-5520</t>
  </si>
  <si>
    <t>Master Cylinder, Wilwood, 260-6087</t>
  </si>
  <si>
    <t>Proportioning Valve, Hydraulic</t>
  </si>
  <si>
    <t>Proportioning Valve, Tilton, 90-1000</t>
  </si>
  <si>
    <t>Proportioning Valve, Tilton, 90-1003</t>
  </si>
  <si>
    <t>Proportioning Valve, Tilton, 90-2000</t>
  </si>
  <si>
    <t>Proportioning Valve, Tilton, 90-2003</t>
  </si>
  <si>
    <t>Proportioning Valve, Wilwood, 260-10922</t>
  </si>
  <si>
    <t>Proportioning Valve, Wilwood, 260-11179</t>
  </si>
  <si>
    <t>Remote Brake Bias Adjuster, AP Racing, CP2905-8</t>
  </si>
  <si>
    <t xml:space="preserve">Remote Brake Bias Adjuster, Tilton 72-408 </t>
  </si>
  <si>
    <t>Remote Brake Bias Adjuster, Tilton 72-501</t>
  </si>
  <si>
    <t>Remote Brake Bias Adjuster, Wilwood, 340-4990</t>
  </si>
  <si>
    <t>Slave Cylinder, CNC, SERIES 305</t>
  </si>
  <si>
    <t>Chassis (All Cost as Made)</t>
  </si>
  <si>
    <t>Hubs (All Cost as Made)</t>
  </si>
  <si>
    <t>Monocoque (All Cost as Made)</t>
  </si>
  <si>
    <t>Rockers (All Cost as Made)</t>
  </si>
  <si>
    <t>Upright (All Cost as Made)</t>
  </si>
  <si>
    <t>Aim Evo 3 Pista Car</t>
  </si>
  <si>
    <t>Aim Evo 3 Pro Car</t>
  </si>
  <si>
    <t>Aim Evo 4 DataLogger Car</t>
  </si>
  <si>
    <t>Aim MXL Pista Race Graphic Car</t>
  </si>
  <si>
    <t>Aim MXL Pista Road Graphic Car</t>
  </si>
  <si>
    <t>Aim MXL Pro05 Car</t>
  </si>
  <si>
    <t>Aim MXL Strada Race Graphic Car</t>
  </si>
  <si>
    <t>Aim MXL Strada Road Graphic Car</t>
  </si>
  <si>
    <t>Aim SmartyCam GPS Standard</t>
  </si>
  <si>
    <t>Aim SmartyCamGP Complete Car</t>
  </si>
  <si>
    <t>Aim Solo DL GPS LapTimer For Car</t>
  </si>
  <si>
    <t>Aim Solo GPS Lap Timer Kit 1 Car</t>
  </si>
  <si>
    <t>Aim TG Lap Timer External Power</t>
  </si>
  <si>
    <t>Aim TG Lap Timer Internal Power</t>
  </si>
  <si>
    <t>Chassis Cntrl Module, +Active Differential</t>
  </si>
  <si>
    <t>Chassis Control Module, +Active Suspension</t>
  </si>
  <si>
    <t>Chassis Control Module, +Automatic Shifter</t>
  </si>
  <si>
    <t>Chassis Control Module, +Battery Charger</t>
  </si>
  <si>
    <t>Chassis Control Module, +Dashboard</t>
  </si>
  <si>
    <t>Chassis Control Module, +Electronic Brake Bias</t>
  </si>
  <si>
    <t>Chassis Control Module, +Traction Control</t>
  </si>
  <si>
    <t>Chassis Control Module, Baseline Enclosure</t>
  </si>
  <si>
    <t>Controller, Active Differential</t>
  </si>
  <si>
    <t>Controller, Active Suspension</t>
  </si>
  <si>
    <t>Datalogger, 2D, Formula Student Data Logger</t>
  </si>
  <si>
    <t>Datalogger, Aim EVO4</t>
  </si>
  <si>
    <t>Datalogger, Aim MXL 2</t>
  </si>
  <si>
    <t>Datalogger, Aim MXL Pista</t>
  </si>
  <si>
    <t>Datalogger, Bosch, DDU 7</t>
  </si>
  <si>
    <t>Datalogger, Motec, ADL</t>
  </si>
  <si>
    <t>Datalogger, Motec, ADL2</t>
  </si>
  <si>
    <t>Datalogger, Motec, ADL3</t>
  </si>
  <si>
    <t>Datalogger, Motec, C125</t>
  </si>
  <si>
    <t>Datalogger, Motec, C185</t>
  </si>
  <si>
    <t>Datalogger, Motec, CDL3</t>
  </si>
  <si>
    <t>Datalogger, Murphy, Powerview 450</t>
  </si>
  <si>
    <t>Datalogger, Race Technologies, DL1</t>
  </si>
  <si>
    <t>Dashboard, Translogic Systems, Micro Dash</t>
  </si>
  <si>
    <t>ECU, AEM, Coil driver 30-2840</t>
  </si>
  <si>
    <t>ECU, AEM, EMS-4, 30-6905</t>
  </si>
  <si>
    <t>ECU, AEM Plug &amp; Play, AVM-30-1052U</t>
  </si>
  <si>
    <t>ECU, AEM Plug &amp; Play, Infinity-6, 30-7106</t>
  </si>
  <si>
    <t xml:space="preserve">ECU, AEM Plug &amp; Play, Infinity-8, 30-7101 </t>
  </si>
  <si>
    <t>ECU, AEM Plug &amp; Play, Infinity-8h, 30-7108</t>
  </si>
  <si>
    <t xml:space="preserve">ECU, AEM Plug &amp; Play, Infinity-10, 30-7100 </t>
  </si>
  <si>
    <t xml:space="preserve">ECU, AEM Plug &amp; Play, Infinity-12, 30-7102 </t>
  </si>
  <si>
    <t>ECU, AEM Wire &amp; Play</t>
  </si>
  <si>
    <t>ECU, Aeromotive, Fuel Pump Controller, 16306</t>
  </si>
  <si>
    <t>ECU, Autronic, SM4</t>
  </si>
  <si>
    <t>ECU, Bosch Motorsport, HPI Box 1.1</t>
  </si>
  <si>
    <t>ECU, Bosch Motorsport, MS3 Sport</t>
  </si>
  <si>
    <t>ECU, Bosch Motorsport, MS4.0 Sport</t>
  </si>
  <si>
    <t>ECU, Bosch Motorsport, MS4.4 Sport, F01TA20068</t>
  </si>
  <si>
    <t>ECU, DTA, S100 Pro</t>
  </si>
  <si>
    <t>ECU, DTA, S40 Pro</t>
  </si>
  <si>
    <t>ECU, DTA, S60 Pro</t>
  </si>
  <si>
    <t>ECU, DTA, S80 Pro</t>
  </si>
  <si>
    <t>ECU, Dynojet, Autotune (single channel), AT-200</t>
  </si>
  <si>
    <t>ECU, Dynojet, LCD unit, LCD-100 &amp;200</t>
  </si>
  <si>
    <t>ECU, Dynojet, Power Commander V USB</t>
  </si>
  <si>
    <t>ECU, Dynojet, Power Commander V-PTi USB</t>
  </si>
  <si>
    <t>ECU, Dynojet, Power Commender III USB</t>
  </si>
  <si>
    <t>ECU, Electromotive, TEC-GT</t>
  </si>
  <si>
    <t>ECU, EngineLab, EL1140L</t>
  </si>
  <si>
    <t>ECU, FuelTech, FT400 EFI</t>
  </si>
  <si>
    <t>ECU, FuelTech, FT500 EFI</t>
  </si>
  <si>
    <t>ECU, Haltech, E11v2</t>
  </si>
  <si>
    <t>ECU, Haltech, E6x</t>
  </si>
  <si>
    <t>ECU, Haltech, E8</t>
  </si>
  <si>
    <t>ECU, Haltech, Elite 1500</t>
  </si>
  <si>
    <t>ECU, Haltech, Platinum Sport 2000 Long Flying Lead Kit</t>
  </si>
  <si>
    <t>ECU, Haltech, PS1000</t>
  </si>
  <si>
    <t>ECU, Life Racing, F88R</t>
  </si>
  <si>
    <t>ECU, Link, G4 Storm</t>
  </si>
  <si>
    <t>ECU, Magneti Marelli, SRA-E</t>
  </si>
  <si>
    <t>ECU, Magneti Marelli, SRA-EDL 4</t>
  </si>
  <si>
    <t>ECU, Magneti Marelli, SRA-EDL 8</t>
  </si>
  <si>
    <t>ECU, Magneti Marelli, SRT-E</t>
  </si>
  <si>
    <t>ECU, Magneti Marelli, SRT-EDL 16</t>
  </si>
  <si>
    <t>ECU, Magneti Marelli, SRT-EDL 32</t>
  </si>
  <si>
    <t>ECU, McLaren MESL TAG-400</t>
  </si>
  <si>
    <t>ECU, Megasquirt</t>
  </si>
  <si>
    <t>ECU, Microsquirt</t>
  </si>
  <si>
    <t>ECU, MoTeC, IEX - Ignition Expander</t>
  </si>
  <si>
    <t>ECU, MoTeC, LTC - Lambda sensor controller</t>
  </si>
  <si>
    <t>ECU, MoTeC, LTCD - Lambda sensor controller</t>
  </si>
  <si>
    <t>ECU, MoTeC, M4</t>
  </si>
  <si>
    <t>ECU, MoTeC, M400</t>
  </si>
  <si>
    <t>ECU, MoTeC, M48</t>
  </si>
  <si>
    <t>ECU, MoTeC, M600</t>
  </si>
  <si>
    <t>ECU, MoTeC, M800</t>
  </si>
  <si>
    <t>ECU, MoTeC, M84</t>
  </si>
  <si>
    <t>ECU, MoTeC, SDL3, Backlighting</t>
  </si>
  <si>
    <t>ECU, MoTeC, SDL3, No Backlighting</t>
  </si>
  <si>
    <t>ECU, MoTeC, TCMUX - Traction Control Multiplexer</t>
  </si>
  <si>
    <t>ECU, Nira, i3+</t>
  </si>
  <si>
    <t>ECU, OEM Spark &amp; Fuel</t>
  </si>
  <si>
    <t>ECU, OEM Spark Only</t>
  </si>
  <si>
    <t>ECU, OEM Spark, Fuel &amp; Traction Control</t>
  </si>
  <si>
    <t>ECU, Ole Buhl Racing, EFI Euro4</t>
  </si>
  <si>
    <t>ECU, Pectel, SQ-6 ECU</t>
  </si>
  <si>
    <t>ECU, Performance Electronics, PE-ECU-1</t>
  </si>
  <si>
    <t>ECU, Performance Electronics, PE-ECU-3</t>
  </si>
  <si>
    <t xml:space="preserve">ECU, Simple Digital Systems, EM-4 D </t>
  </si>
  <si>
    <t xml:space="preserve">ECU, Simple Digital Systems, EM-4 E/MSD </t>
  </si>
  <si>
    <t xml:space="preserve">ECU, Simple Digital Systems, EM-4 F </t>
  </si>
  <si>
    <t>ECU, Sodemo Moteurs, EV11/4</t>
  </si>
  <si>
    <t>ECU, SPDi, programmable spark module 910001</t>
  </si>
  <si>
    <t>ECU, Student Built, +Active Diff</t>
  </si>
  <si>
    <t>ECU, Student Built, +Traction Control</t>
  </si>
  <si>
    <t>ECU, Student Built, Spark &amp; Fuel</t>
  </si>
  <si>
    <t>ECU, Student Built, Spark Only</t>
  </si>
  <si>
    <t>ECU, Syvecs, S6 GP</t>
  </si>
  <si>
    <t>ECU, Trecs, Model II</t>
  </si>
  <si>
    <t>ECU, Trikejt Plus</t>
  </si>
  <si>
    <t>ECU, VEMS, v3</t>
  </si>
  <si>
    <t>ECU, Vortex Ignitions, ECU-2D</t>
  </si>
  <si>
    <r>
      <t>M3 XG LOG Datalogger</t>
    </r>
    <r>
      <rPr>
        <sz val="12"/>
        <color indexed="8"/>
        <rFont val="Arial"/>
        <family val="2"/>
        <charset val="161"/>
      </rPr>
      <t xml:space="preserve">  </t>
    </r>
  </si>
  <si>
    <t>Mychron 3 Basic</t>
  </si>
  <si>
    <t>Mychron 4 Basic</t>
  </si>
  <si>
    <t>Cable, Pull</t>
  </si>
  <si>
    <t>Cable, Push/Pull</t>
  </si>
  <si>
    <t>Damper, AFCO, 1650, Twin tube</t>
  </si>
  <si>
    <t xml:space="preserve">Damper, AFCO, 513SP, Mono tube </t>
  </si>
  <si>
    <t>Damper, AVO, 1.9" Alum Dbl Adj (DAAWA100/75)</t>
  </si>
  <si>
    <t>Damper, Bilstein MDS Formula Student</t>
  </si>
  <si>
    <t>Damper, Cane Creek Double Barrel</t>
  </si>
  <si>
    <t>Damper, Cane Creek Double Barrel Air (DBAir)</t>
  </si>
  <si>
    <t>Damper, DT Swiss, M212</t>
  </si>
  <si>
    <t>Damper, DT Swiss, X313</t>
  </si>
  <si>
    <t>Damper, DNM Burner RCP</t>
  </si>
  <si>
    <t>Damper, Elka Stage-5 MTB</t>
  </si>
  <si>
    <t>Damper, Fox DHX 5.0</t>
  </si>
  <si>
    <t>Damper, Fox Van R</t>
  </si>
  <si>
    <t>Damper, Fox Vanilla R</t>
  </si>
  <si>
    <t>Damper, Hotbits 4WD DT1</t>
  </si>
  <si>
    <t>Damper, Kind Shock, KS-504</t>
  </si>
  <si>
    <t>Damper, Koni 3012</t>
  </si>
  <si>
    <t>Damper, Koni, Trax Spax DA, Double Adjustable</t>
  </si>
  <si>
    <t>Damper, Koni, Trax Spax DA, Single Adjustable</t>
  </si>
  <si>
    <t>Damper, KW GFw 3-Way Adjustable</t>
  </si>
  <si>
    <t>Damper, Manitou, Swinger 4 Way</t>
  </si>
  <si>
    <t>Damper, Marzocchi, Roco TST R</t>
  </si>
  <si>
    <t>Damper, Ohlins SD115</t>
  </si>
  <si>
    <t>Damper, Ohlins ST44</t>
  </si>
  <si>
    <t>Damper, Ohlins TTX 25</t>
  </si>
  <si>
    <t>Damper, Ohlins TTX 36</t>
  </si>
  <si>
    <t>Damper, Penske 7800-Non-Adjustable Quarter Midget</t>
  </si>
  <si>
    <t>Damper, Penske 7800-Piggyback Dbl. Adj. (Kaz Tech.)</t>
  </si>
  <si>
    <t>Damper, Penske 7800-Piggyback Non-Adj.(Kaz Tech.)</t>
  </si>
  <si>
    <t>Damper, Penske 8100</t>
  </si>
  <si>
    <t>Damper, Penske 8300</t>
  </si>
  <si>
    <t>Damper, Penske 8760</t>
  </si>
  <si>
    <t>Damper, Quantum, Zero, non-adjustable</t>
  </si>
  <si>
    <t>Damper, Quantum, One.Zero, single adjustable</t>
  </si>
  <si>
    <t>Damper, Quantum, Two.Zero, Two-way adjustable</t>
  </si>
  <si>
    <t>Damper, Risse Jupiter 5</t>
  </si>
  <si>
    <t>Damper, Risse Jupiter 5R</t>
  </si>
  <si>
    <t>Damper, Risse Jupiter 7R</t>
  </si>
  <si>
    <t>Damper, SRAM, Rock Shox, Vivid R2C</t>
  </si>
  <si>
    <t>Damper, Tanner</t>
  </si>
  <si>
    <t>Damper, Team Built</t>
  </si>
  <si>
    <t>Damper, Team Built, Reservoir Bladder</t>
  </si>
  <si>
    <t>Damper, X-Fusion Vektor DH 1.0</t>
  </si>
  <si>
    <t>Damper, ZF Sachs, ETX36/15x</t>
  </si>
  <si>
    <t>Damper, ZF Sachs, Formula Student</t>
  </si>
  <si>
    <t>Damper, ZF Sachs, RD 36-2</t>
  </si>
  <si>
    <t>Axle (All Cost as Made)</t>
  </si>
  <si>
    <t>Axle Snubber</t>
  </si>
  <si>
    <t>Belt</t>
  </si>
  <si>
    <t>Chain</t>
  </si>
  <si>
    <t>Chain Guard (All Cost as Made)</t>
  </si>
  <si>
    <t>Constant Velocity Joint, Boot</t>
  </si>
  <si>
    <t>Constant Velocity Joint, Housing (All Cost as Made)</t>
  </si>
  <si>
    <t>Constant Velocity Joint, Plug, Axial Locating</t>
  </si>
  <si>
    <t>Constant Velocity Joint, Rzepa Plunging</t>
  </si>
  <si>
    <t>Constant Velocity Joint, Rzeppa Fixed</t>
  </si>
  <si>
    <t>Constant Velocity Joint, Stub-shaft (All Cost as Made)</t>
  </si>
  <si>
    <t>Constant Velocity Joint, Tripod</t>
  </si>
  <si>
    <t>Differential Housing (All Cost as Made)</t>
  </si>
  <si>
    <t>Differential Internals, Limited Slip, Cam &amp; Pawl</t>
  </si>
  <si>
    <t>Differential Internals, Limited Slip, Quaife</t>
  </si>
  <si>
    <t>Differential Internals, Limited Slip, Salisbury or Powerflow or Clutch Style</t>
  </si>
  <si>
    <t>Differential Internals, Limited Slip, Torsen T1</t>
  </si>
  <si>
    <t>Differential Internals, Limited Slip, Torsen T2</t>
  </si>
  <si>
    <t>Differential Internals, Open Gearset (Any)</t>
  </si>
  <si>
    <t>Half Shaft (All Cost as Made)</t>
  </si>
  <si>
    <t>Pulley (All Cost as Made)</t>
  </si>
  <si>
    <t>Sprocket (All Cost as Made)</t>
  </si>
  <si>
    <t>Universal Joint</t>
  </si>
  <si>
    <t xml:space="preserve">Aim M3 XG LOG Datalogger  </t>
  </si>
  <si>
    <t>Battery, Advanced Chemistry (NiMH, Li-Ion, etc.)</t>
  </si>
  <si>
    <t>Battery, Lead Acid</t>
  </si>
  <si>
    <t>Circuit Breaker, Thermal, Klixon 7277-2-20</t>
  </si>
  <si>
    <t>Connector, Aerospace Quality</t>
  </si>
  <si>
    <t>Connector, Computer  Type</t>
  </si>
  <si>
    <t>Connector, High Power, &gt; 2 Amps</t>
  </si>
  <si>
    <t>Connector, OEM Quality</t>
  </si>
  <si>
    <t>Connector, Single Wire</t>
  </si>
  <si>
    <t>Dashpanel, Haltech, Racepak IQ3 Display</t>
  </si>
  <si>
    <t>Dashpanel, Memotec, G-Dash</t>
  </si>
  <si>
    <t>Dashpanel, Race Technology,  Dash4Pro</t>
  </si>
  <si>
    <t>Display, 7 Segment</t>
  </si>
  <si>
    <t>Display, LCD (for Student Built Elect. Only), Area</t>
  </si>
  <si>
    <t>Display, LCD (for Student Built Elect. Only), Rect</t>
  </si>
  <si>
    <t>Display, Matrix</t>
  </si>
  <si>
    <t>Fuse Box</t>
  </si>
  <si>
    <t>Fuse, Control</t>
  </si>
  <si>
    <t>Fuse, Power</t>
  </si>
  <si>
    <t>Fuse, Signal</t>
  </si>
  <si>
    <t>Gauge, Analog</t>
  </si>
  <si>
    <t>Gauge, Analog Housing</t>
  </si>
  <si>
    <t>Gauge, Digital Pro Shifter System, 6187</t>
  </si>
  <si>
    <t>Gauge, Ecliptech, Shift-I shift light, SI-SGAR</t>
  </si>
  <si>
    <t>Heat Shrink Tubing</t>
  </si>
  <si>
    <t>Lamp, Brake with Housing</t>
  </si>
  <si>
    <t>Lamp, Incandescent</t>
  </si>
  <si>
    <t>Lamp, LED</t>
  </si>
  <si>
    <t>Motor, 12 Volt, DC Brush</t>
  </si>
  <si>
    <t>Motor, 12 Volt, DC Brushless Servo</t>
  </si>
  <si>
    <t>Power Distribution Module, Cosworth, IPS32</t>
  </si>
  <si>
    <t>Power Distribution Module, Rowe Electronics, PDM60</t>
  </si>
  <si>
    <t>Relay, Control</t>
  </si>
  <si>
    <t>Relay, Power</t>
  </si>
  <si>
    <t>Relay, Signal</t>
  </si>
  <si>
    <t>Sensor to CAN Converter</t>
  </si>
  <si>
    <t>Servo, 12V</t>
  </si>
  <si>
    <t>Solenoid, 12 Volt</t>
  </si>
  <si>
    <t>Speaker</t>
  </si>
  <si>
    <t>Switch, Kill</t>
  </si>
  <si>
    <t>Switch, Pushbutton</t>
  </si>
  <si>
    <t>Switch, Rotary Multi-position Selector</t>
  </si>
  <si>
    <t>Switch, Toggle</t>
  </si>
  <si>
    <t>Terminal Block, Wiring</t>
  </si>
  <si>
    <t>Wire Sleeving, Expandable</t>
  </si>
  <si>
    <t>Wire Sleeving, Split</t>
  </si>
  <si>
    <t>Wire, Control</t>
  </si>
  <si>
    <t>Wire, fusible link</t>
  </si>
  <si>
    <t>Wire, Power</t>
  </si>
  <si>
    <t>Wire, Signal</t>
  </si>
  <si>
    <t>Accusump</t>
  </si>
  <si>
    <t>Boost Control Solenoid Valve, MR561312</t>
  </si>
  <si>
    <t>Blow off valve</t>
  </si>
  <si>
    <t>Coolant Pump, External Electric</t>
  </si>
  <si>
    <t>Cooling System Air Bleed Valve</t>
  </si>
  <si>
    <t>Dry Sump Pump, Aviad, 003-32000</t>
  </si>
  <si>
    <t>Dry Sump Pump, Dailey Engineering, 04-00-2162</t>
  </si>
  <si>
    <t>Dry Sump Pump, Dailey Engineering, 04-99-2162</t>
  </si>
  <si>
    <t>Dry Sump Pump, Dailey Engineering, 04-99-2162-2</t>
  </si>
  <si>
    <t>Dry Sump Pump, Dailey Engineering, 04-99-2186</t>
  </si>
  <si>
    <t xml:space="preserve">Dry Sump Pump, Dailey Engineering, 04-99-2204 </t>
  </si>
  <si>
    <t>Dry Sump Pump, Dailey Engineering, 04-99-2204-2</t>
  </si>
  <si>
    <t>Dry Sump Pump, Dailey Engineering, 04-99-2264-2</t>
  </si>
  <si>
    <t>Dry Sump Pump, Dailey Engineering, 04-99-2301-2</t>
  </si>
  <si>
    <t>Dry Sump Pump, Pace, 2 Stage</t>
  </si>
  <si>
    <t>Dry Sump Pump, Pace, 3 Stage</t>
  </si>
  <si>
    <t>Dry Sump Pump, Pace, Single Stage</t>
  </si>
  <si>
    <t>Dry Sump Pump, Student Made</t>
  </si>
  <si>
    <t>Engine and Transmission, High Performance (5-10 HP/100 cc)</t>
  </si>
  <si>
    <t>Engine and Transmission, Low Performance (&lt;5 HP/100 cc)</t>
  </si>
  <si>
    <t>Engine and Transmission, Ultra High Performance (&gt;10 HP/100 cc)</t>
  </si>
  <si>
    <t>Exhaust Manifold (All Cost as Made)</t>
  </si>
  <si>
    <t>Exhaust Pipe, Flexible</t>
  </si>
  <si>
    <t>Fuel Check Valve</t>
  </si>
  <si>
    <t>Fuel Injector, Direct Injection</t>
  </si>
  <si>
    <t>Fuel Injector, E85</t>
  </si>
  <si>
    <t>Fuel Injector, Gasoline</t>
  </si>
  <si>
    <t>Fuel Pressure Regulator, E85</t>
  </si>
  <si>
    <t>Fuel Pressure Regulator, Gasoline</t>
  </si>
  <si>
    <t>Fuel Pump, Carburetor, Gasoline or E85</t>
  </si>
  <si>
    <t>Fuel Pump, Direct Injection</t>
  </si>
  <si>
    <t>Fuel Pump, Fuel Injected, E85</t>
  </si>
  <si>
    <t>Fuel Pump, Fuel Injected, Gasoline</t>
  </si>
  <si>
    <t>Fuel Rail (All Cost as Made)</t>
  </si>
  <si>
    <t>Fuel Tank (All Cost as Made)</t>
  </si>
  <si>
    <t>Heat Exchanger Fan</t>
  </si>
  <si>
    <t>Heat Exchanger Fan, small &lt;120mm diameter</t>
  </si>
  <si>
    <t>Heat Exchanger Fan Shroud (All Cost as Made)</t>
  </si>
  <si>
    <t>Heat Exchanger, Air-to-Air</t>
  </si>
  <si>
    <t>Heat Exchanger, Air-to-Liquid</t>
  </si>
  <si>
    <t>Heat Exchanger, Liquid-to-Liquid</t>
  </si>
  <si>
    <t>Intake (All Cost as Made)</t>
  </si>
  <si>
    <t>Muffler (All Cost as Made)</t>
  </si>
  <si>
    <t>Muffler Batting</t>
  </si>
  <si>
    <t>Oil Filter</t>
  </si>
  <si>
    <t>Overflow Bottle, Aluminum Drinking Bottle</t>
  </si>
  <si>
    <t>Overflow Bottle, JAX 1 Qt. Oil Breather Tank</t>
  </si>
  <si>
    <t>Overflow Bottle, JAX, 1 Qt. Recirc. Catch Can</t>
  </si>
  <si>
    <t>Overflow Bottle, Nalgene Bottle</t>
  </si>
  <si>
    <t>Overflow Bottle, Plastic Bottle</t>
  </si>
  <si>
    <t>Overflow Bottle, Plastic Drinking Bottle</t>
  </si>
  <si>
    <t>Overflow Bottle, Steel Oil Can</t>
  </si>
  <si>
    <t>Overflow Bottle, Student Built</t>
  </si>
  <si>
    <t>Pump, Transmission Oil, Hope Technik, 006</t>
  </si>
  <si>
    <t>Spark Plug Coil</t>
  </si>
  <si>
    <t>Spark Plug Wire</t>
  </si>
  <si>
    <t>Supercharger</t>
  </si>
  <si>
    <t>Throttle Body (All Cost as Made)</t>
  </si>
  <si>
    <t>Turbocharger</t>
  </si>
  <si>
    <t>Chassis Control Module, + Battery Charger HV</t>
  </si>
  <si>
    <t>Chassis Control Module, + Battery Charger LV</t>
  </si>
  <si>
    <t>Chassis Control Module, + Battery Management System</t>
  </si>
  <si>
    <t>Chassis Control Module, + DCDC-Power (&gt;1A) HV-&gt;LV</t>
  </si>
  <si>
    <t>Chassis Control Module, + HC-HV Fuse incl. Box</t>
  </si>
  <si>
    <t>Chassis Control Module, + HV Housing</t>
  </si>
  <si>
    <t>Chassis Control Module, + HV Insulation Relay</t>
  </si>
  <si>
    <t>Chassis Control Module, + HV Precharge</t>
  </si>
  <si>
    <t>Chassis Control Module, + Isolation Monitoring Device</t>
  </si>
  <si>
    <t>Chassis Control Module, + Motor Controller AC</t>
  </si>
  <si>
    <t>Chassis Control Module, + Motor Controller DC</t>
  </si>
  <si>
    <t>Chassis Control Module, + Power Distribution Module</t>
  </si>
  <si>
    <t>Chassis Control Module, + TSAL</t>
  </si>
  <si>
    <t>Chassis Control Module, + TSAS, buzzer</t>
  </si>
  <si>
    <t>Chassis Control Module, + TSAS, melody</t>
  </si>
  <si>
    <t>ECU, Automotive</t>
  </si>
  <si>
    <t>ECU, Industrial</t>
  </si>
  <si>
    <t>ECU, Rapid Prototyping</t>
  </si>
  <si>
    <t>ECU, student built</t>
  </si>
  <si>
    <t>Battery, Tractive Lithium</t>
  </si>
  <si>
    <t>Conduit incl. Nuts, Elbows etc.</t>
  </si>
  <si>
    <t>Connector, HC-HV incl. Interlock</t>
  </si>
  <si>
    <t>Connector, HC-HV Lug Type</t>
  </si>
  <si>
    <t>Wiring HV (&gt; 12 mm²)</t>
  </si>
  <si>
    <t>Motor, Tractive AC</t>
  </si>
  <si>
    <t>Motor, Tractive DC</t>
  </si>
  <si>
    <t>Fluid, Coolant</t>
  </si>
  <si>
    <t>Fluid, Oil</t>
  </si>
  <si>
    <t>Foam, Fuel Anti-Surge</t>
  </si>
  <si>
    <t>Fuel Check Valve, In-line, Aluminum Rollover</t>
  </si>
  <si>
    <t>Fuel Check Valve, In-line, Plastic Rollover</t>
  </si>
  <si>
    <t>Cable Tie Mount, Adhesive Backed</t>
  </si>
  <si>
    <t>Coupling, Shaft, Helical Beam</t>
  </si>
  <si>
    <t>Drawbolt Catch &amp; Hook</t>
  </si>
  <si>
    <t>Grommet, Elastomer</t>
  </si>
  <si>
    <t>Locating Pin, Bullet-Nose Dowel, Steel</t>
  </si>
  <si>
    <t>Locating Pin, Liner, Steel</t>
  </si>
  <si>
    <t>Mount, Vibration-Damping Sandwich</t>
  </si>
  <si>
    <t>Piano Hinge, Aluminum</t>
  </si>
  <si>
    <t>Woodruff Key</t>
  </si>
  <si>
    <t>Adhesive</t>
  </si>
  <si>
    <t>Balance Bar Cable Adjuster, AP CP2905-8</t>
  </si>
  <si>
    <t>Balance Bar Cable Adjuster, Optimum Balance Prod</t>
  </si>
  <si>
    <t>Cable Adjuster</t>
  </si>
  <si>
    <t>Cable end clevis</t>
  </si>
  <si>
    <t>Clevis</t>
  </si>
  <si>
    <t xml:space="preserve">Edge protection </t>
  </si>
  <si>
    <t>Filler Cap</t>
  </si>
  <si>
    <t>Gearbox Oil Temp. Control Valve, GearZmo</t>
  </si>
  <si>
    <t>Head Rest Padding</t>
  </si>
  <si>
    <t>Heat Barrier</t>
  </si>
  <si>
    <t>Mirror Lens</t>
  </si>
  <si>
    <t>Mirror, Rear View, Housing (All Cost as Made)</t>
  </si>
  <si>
    <t>Paint</t>
  </si>
  <si>
    <t>Roll Hoop Padding</t>
  </si>
  <si>
    <t>Seat (All Cost as Made)</t>
  </si>
  <si>
    <t>Tape</t>
  </si>
  <si>
    <t>Throttle Linkage, Tilton, 72-790</t>
  </si>
  <si>
    <t>Pedal Assembly, Optimum Balance Products OBP0181</t>
  </si>
  <si>
    <t>Pedal Assembly, Tilton, 72-680</t>
  </si>
  <si>
    <t>Pedal, Wilwood, 340-1285</t>
  </si>
  <si>
    <t>Adapter, Hex Nipple, Brass</t>
  </si>
  <si>
    <t>Adapter, Hex Nipple, Reducing, Brass</t>
  </si>
  <si>
    <t>Adapter/L.P.///Aluminum/Anodized</t>
  </si>
  <si>
    <t>Adapter/L.P./Barb to Male Pipe/90 Deg./Aluminum/Anodized</t>
  </si>
  <si>
    <t>Adapter/L.P./Barb to Male Pipe/Elbow/Plastic</t>
  </si>
  <si>
    <t>Adapter/L.P./Barb to Male Pipe/Straight/Aluminum/Anodized</t>
  </si>
  <si>
    <t>Adapter/L.P./Barb to Male Pipe/Straight/Plastic</t>
  </si>
  <si>
    <t>Adapter/L.P./Bulkhead Male Connector//Steel/</t>
  </si>
  <si>
    <t>Adapter/L.P./Bulkhead Run Tee//Aluminum/Anodized</t>
  </si>
  <si>
    <t>Adapter/L.P./Bulkhead Run Tee//Steel/</t>
  </si>
  <si>
    <t>Adapter/L.P./Bulkhead Tee//Aluminum/Anodized</t>
  </si>
  <si>
    <t>Adapter/L.P./Bulkhead Tee//Steel/</t>
  </si>
  <si>
    <t>Adapter/L.P./Bulkhead Union//Aluminum/Anodized</t>
  </si>
  <si>
    <t>Adapter/L.P./Bulkhead Union//Steel/</t>
  </si>
  <si>
    <t>Adapter/L.P./Bulkhead Union/45 deg./Aluminum/Anodized</t>
  </si>
  <si>
    <t>Adapter/L.P./Bulkhead Union/45 deg./Steel/</t>
  </si>
  <si>
    <t>Adapter/L.P./Bulkhead Union/90 deg./Aluminum/Anodized</t>
  </si>
  <si>
    <t>Adapter/L.P./Bulkhead Union/90 deg./Steel/</t>
  </si>
  <si>
    <t>Adapter/L.P./Elbow/FeMale to Male Pipe/90 deg./Aluminum/Anodized</t>
  </si>
  <si>
    <t>Adapter/L.P./Female Flare Tee//Aluminum/Anodized</t>
  </si>
  <si>
    <t>Adapter/L.P./Female Flare Tee//Brass</t>
  </si>
  <si>
    <t>Adapter/L.P./Female Pipe Tee//Aluminum/Anodized</t>
  </si>
  <si>
    <t>Adapter/L.P./FemAle Pipe to Male Flare//Steel/</t>
  </si>
  <si>
    <t>Adapter/L.P./Male Branch Tee//Aluminum/Anodized</t>
  </si>
  <si>
    <t>Adapter/L.P./Male Flare to Pipe//Aluminum/Nickel-Plated</t>
  </si>
  <si>
    <t>Adapter/L.P./Male Flare to Pipe//Brass/</t>
  </si>
  <si>
    <t>Adapter/L.P./Male Flare to Pipe//Steel/</t>
  </si>
  <si>
    <t>Adapter/L.P./Male Flare to Pipe/45 deg./Aluminum/Anodized</t>
  </si>
  <si>
    <t>Adapter/L.P./Male Flare to Pipe/45 deg./Aluminum/Nickel-Plated</t>
  </si>
  <si>
    <t>Adapter/L.P./Male Flare to Pipe/45 deg./Steel/</t>
  </si>
  <si>
    <t>Adapter/L.P./Male Flare to Pipe/90 deg./Aluminum/Anodized</t>
  </si>
  <si>
    <t>Adapter/L.P./Male Flare to Pipe/90 deg./Aluminum/Nickel-Plated</t>
  </si>
  <si>
    <t>Adapter/L.P./Male Flare to Pipe/90 deg./Brass/</t>
  </si>
  <si>
    <t>Adapter/L.P./Male Flare to Pipe/90 deg./Steel/</t>
  </si>
  <si>
    <t>Adapter/L.P./Male Pip Nipple//Aluminum/Anodized</t>
  </si>
  <si>
    <t>Adapter/L.P./Male Run Tee//Aluminum/Anodized</t>
  </si>
  <si>
    <t>Adapter/L.P./Male Run Tee//Steel/</t>
  </si>
  <si>
    <t>Adapter/L.P./Pipe Coupling//Aluminum/Anodized</t>
  </si>
  <si>
    <t>Adapter/L.P./Pipe to Pipe//Aluminum/Anodized</t>
  </si>
  <si>
    <t>Adapter/L.P./Push-to-Connect to Male Pipe/Straight/Aluminum/Anodized</t>
  </si>
  <si>
    <t>Adapter/L.P./Union Reducer//Aluminum/Anodized</t>
  </si>
  <si>
    <t>Adapter/L.P./Union Reducer//Brass</t>
  </si>
  <si>
    <t>Adapter/L.P./Union Tee//Aluminum/Anodized</t>
  </si>
  <si>
    <t>Adapter/L.P./Union Tee//Brass/</t>
  </si>
  <si>
    <t>Adapter/L.P./Union//Aluminum/Anodized</t>
  </si>
  <si>
    <t>Adapter/L.P./Union/90 deg./Aluminum/Anodized</t>
  </si>
  <si>
    <t>Adapter/L.P./Union/90 deg./Brass</t>
  </si>
  <si>
    <t>Adapter/L.P./Union/FeMale Flare//Aluminum/Anodized</t>
  </si>
  <si>
    <t>Banjo Bolt, Aluminum</t>
  </si>
  <si>
    <t>Banjo Bolt, Steel</t>
  </si>
  <si>
    <t>Banjo Fitting, 45 Deg., Aluminum</t>
  </si>
  <si>
    <t>Banjo Fitting, 45 Deg., Steel</t>
  </si>
  <si>
    <t>Banjo Fitting, 90 Deg., Aluminum</t>
  </si>
  <si>
    <t>Banjo Fitting, 90 Deg., Steel</t>
  </si>
  <si>
    <t>Banjo Fitting, Aluminum</t>
  </si>
  <si>
    <t>Banjo Fitting, Double, Aluminum</t>
  </si>
  <si>
    <t>Banjo Fitting, Double, Steel</t>
  </si>
  <si>
    <t>Banjo Fitting, Steel</t>
  </si>
  <si>
    <t>Bleedscrew, Hydraulic (Brake, clutch, etc.)</t>
  </si>
  <si>
    <t>Break Coupling, Dry, Female, Goodridge</t>
  </si>
  <si>
    <t>Break Coupling, Dry, Female, KC Engineering</t>
  </si>
  <si>
    <t>Break Coupling, Dry, Female, Staubli</t>
  </si>
  <si>
    <t>Break Coupling, Dry, Male, Goodridge</t>
  </si>
  <si>
    <t>Break Coupling, Dry, Male, KC Engineering</t>
  </si>
  <si>
    <t>Break Coupling, Dry, Male, Staubli</t>
  </si>
  <si>
    <t>Check Valve, High Press, Adj, In-Line, Generant</t>
  </si>
  <si>
    <t xml:space="preserve">Check Valve, Residuel Pressure </t>
  </si>
  <si>
    <t>Crush Washer</t>
  </si>
  <si>
    <t>Drain Plug, Hex Head, Magnetic</t>
  </si>
  <si>
    <t>Drain Plug, Square Head, Magnetic</t>
  </si>
  <si>
    <t>Fitting, Fuel Pressure Gauge</t>
  </si>
  <si>
    <t>Fitting, JT2000, Quick Con. Plug to Flare, 45 Deg.</t>
  </si>
  <si>
    <t>Fitting, JT2000, Quick Con. Plug to Flare, 90 Deg.</t>
  </si>
  <si>
    <t>Fitting, JT2000, Quick Con. Plug to Flare, Str.</t>
  </si>
  <si>
    <t>Fitting, JT2000, Quick Con. Socket to Flare, 45 Deg.</t>
  </si>
  <si>
    <t>Fitting, JT2000, Quick Con. Socket to Flare, 90 Deg.</t>
  </si>
  <si>
    <t>Fitting, JT2000, Quick Con. Socket to Flare, Straight</t>
  </si>
  <si>
    <t>Fitting, Push-to-Connect, Plastic, Elbow 90°</t>
  </si>
  <si>
    <t>Fitting, Push-to-Connect, Plastic, Straight</t>
  </si>
  <si>
    <t>Fitting, Push-to-Connect, Plastic, Tee</t>
  </si>
  <si>
    <t>Fitting, Push-to-Connect, Plastic, Wye</t>
  </si>
  <si>
    <t>Fitting, Weld-in, Male, Aluminum</t>
  </si>
  <si>
    <t>Fitting, Wiggins, Clamshell Assembly</t>
  </si>
  <si>
    <t>Fitting, Wiggins, Coupling Assembly</t>
  </si>
  <si>
    <t>Fitting, Wiggins, Weld Ferrule</t>
  </si>
  <si>
    <t>Fitting/H.P./Elbow/45 deg./Steel/</t>
  </si>
  <si>
    <t>Fitting/H.P./Elbow/90 deg./Steel/</t>
  </si>
  <si>
    <t>Fitting/H.P./MAluminume Flare//Brass/</t>
  </si>
  <si>
    <t>Fitting/H.P./MAluminume Inverted Flare//Brass/</t>
  </si>
  <si>
    <t>Fitting/H.P./MAluminume Inverted Flare//Steel/</t>
  </si>
  <si>
    <t>Fitting/H.P./MAluminume Inverted Flare/45 deg./Steel/</t>
  </si>
  <si>
    <t>Fitting/H.P./MAluminume Inverted Flare/90 deg./Steel/</t>
  </si>
  <si>
    <t>Fitting/H.P./MAluminume Pipe//Brass/</t>
  </si>
  <si>
    <t>Fitting/H.P./MAluminume Pipe//Steel/</t>
  </si>
  <si>
    <t>Fitting/H.P./Straight//Brass/</t>
  </si>
  <si>
    <t>Fitting/H.P./Straight//Steel/</t>
  </si>
  <si>
    <t>Fitting/L.P./Cap//Aluminum/Anodized</t>
  </si>
  <si>
    <t>Fitting/L.P./Cap//Steel/</t>
  </si>
  <si>
    <t>Fitting/L.P./Elbow/120 deg./Aluminum/Anodized</t>
  </si>
  <si>
    <t>Fitting/L.P./Elbow/120 deg./Aluminum/Crimp</t>
  </si>
  <si>
    <t>Fitting/L.P./Elbow/150 deg./Aluminum/Anodized</t>
  </si>
  <si>
    <t>Fitting/L.P./Elbow/150 deg./Aluminum/Crimp</t>
  </si>
  <si>
    <t>Fitting/L.P./Elbow/180 deg./Aluminum/Anodized</t>
  </si>
  <si>
    <t>Fitting/L.P./Elbow/180 deg./Aluminum/Crimp</t>
  </si>
  <si>
    <t>Fitting/L.P./Elbow/30 deg./Aluminum/Anodized</t>
  </si>
  <si>
    <t>Fitting/L.P./Elbow/30 deg./Aluminum/Crimp</t>
  </si>
  <si>
    <t>Fitting/L.P./Elbow/45 deg./Aluminum/Anodized</t>
  </si>
  <si>
    <t>Fitting/L.P./Elbow/45 deg./Aluminum/Crimp</t>
  </si>
  <si>
    <t>Fitting/L.P./Elbow/45 deg./Aluminum/Nickel-Plated</t>
  </si>
  <si>
    <t>Fitting/L.P./Elbow/45 deg./Steel/</t>
  </si>
  <si>
    <t>Fitting/L.P./Elbow/60 deg./Aluminum/Anodized</t>
  </si>
  <si>
    <t>Fitting/L.P./Elbow/60 deg./Aluminum/Crimp</t>
  </si>
  <si>
    <t>Fitting/L.P./Elbow/90 deg./Aluminum/Anodized</t>
  </si>
  <si>
    <t>Fitting/L.P./Elbow/90 deg./Aluminum/Crimp</t>
  </si>
  <si>
    <t>Fitting/L.P./Elbow/90 deg./Aluminum/Nickel-Plated</t>
  </si>
  <si>
    <t>Fitting/L.P./Elbow/90 deg./Steel/</t>
  </si>
  <si>
    <t>Fitting/L.P./Male Flare to Pipe//Aluminum/Anodized</t>
  </si>
  <si>
    <t>Fitting/L.P./Male Pipe//Aluminum/</t>
  </si>
  <si>
    <t>Fitting/L.P./Orb/45 deg./Aluminum/</t>
  </si>
  <si>
    <t>Fitting/L.P./Orb/90 deg./Aluminum/</t>
  </si>
  <si>
    <t>Fitting/L.P./Straight/Aluminum/Anodized</t>
  </si>
  <si>
    <t>Fitting/L.P./Straight/Aluminum/Crimp</t>
  </si>
  <si>
    <t>Fitting/L.P./Straight/Aluminum/Nickel-Plated</t>
  </si>
  <si>
    <t>Fitting/L.P./Straight/Steel/</t>
  </si>
  <si>
    <t>Fitting/L.P./Tee/Flare-Flare-Pipe/Steel/</t>
  </si>
  <si>
    <t>Fitting/L.P./Tube Nut//Aluminum/Anodized</t>
  </si>
  <si>
    <t>Fitting/L.P./Tube Nut//Steel/</t>
  </si>
  <si>
    <t>Fitting/L.P./Tube Sleeve//Aluminum/Anodized</t>
  </si>
  <si>
    <t>Fitting/L.P./Tube Sleeve/Brass</t>
  </si>
  <si>
    <t>Fitting/L.P./Tube Sleeve/Steel/</t>
  </si>
  <si>
    <t>Grease Nipple, 45 Deg.</t>
  </si>
  <si>
    <t>Grease Nipple, 90 Deg.</t>
  </si>
  <si>
    <t>Grease Nipple, Straight</t>
  </si>
  <si>
    <t>Hose, High Pressure, Stainless Steel Braided Outer</t>
  </si>
  <si>
    <t>Hose, Low Pressure, Fabric Outer</t>
  </si>
  <si>
    <t>Hose, Low Pressure, Stainless Steel Braided Outer</t>
  </si>
  <si>
    <t>Hose, Low Presure, Fabric Outer, Socketless</t>
  </si>
  <si>
    <t>Hose, Polyurethane</t>
  </si>
  <si>
    <t>Hose, Rubber</t>
  </si>
  <si>
    <t>Hose, Silicone</t>
  </si>
  <si>
    <t>Locknut/L.P.///Steel/</t>
  </si>
  <si>
    <t>Locknut/L.P./Flare//Aluminum/Anodized</t>
  </si>
  <si>
    <t>Plug/L.P./Flare//Steel/</t>
  </si>
  <si>
    <t>Plug/L.P./O-Ring Boss//Aluminum/Anodized</t>
  </si>
  <si>
    <t>Plug/L.P./Pipe/Allen Head/Aluminum/Anodized</t>
  </si>
  <si>
    <t>Rotating Union, GAT, Rotodisk</t>
  </si>
  <si>
    <t>Tubing, Steel</t>
  </si>
  <si>
    <t>Harness, Driver</t>
  </si>
  <si>
    <t>Seal, O-Ring, Elastomer</t>
  </si>
  <si>
    <t>Seal, Radial Lip Seal</t>
  </si>
  <si>
    <t>Sensor, Accelerometer, 1 Axis</t>
  </si>
  <si>
    <t>Sensor, Accelerometer, 3 Axis</t>
  </si>
  <si>
    <t>Sensor, Air Temperature</t>
  </si>
  <si>
    <t>Sensor, Angular Position</t>
  </si>
  <si>
    <t>Sensor, Fluid Pressure</t>
  </si>
  <si>
    <t>Sensor, GPS</t>
  </si>
  <si>
    <t>Sensor, Gyroscope</t>
  </si>
  <si>
    <t>Sensor, Fluid Pressure &amp; Temperature</t>
  </si>
  <si>
    <t>Sensor, Hall Effect</t>
  </si>
  <si>
    <t>Sensor, Load Cell</t>
  </si>
  <si>
    <t>Sensor, LVDT</t>
  </si>
  <si>
    <t>Sensor, Manifold Absolute Pressure (MAP)</t>
  </si>
  <si>
    <t>Sensor, Mass Air Flow (MAF)</t>
  </si>
  <si>
    <t>Sensor, Pitot Tube</t>
  </si>
  <si>
    <t>Sensor, Strain Gauge</t>
  </si>
  <si>
    <t>Sensor, Switching Air Fuel Ratio</t>
  </si>
  <si>
    <t>Sensor, Temperature</t>
  </si>
  <si>
    <t>Sensor, Thermocouple</t>
  </si>
  <si>
    <t>Sensor, Two State Position</t>
  </si>
  <si>
    <t>Sensor, Wide Band Air Fuel Raito</t>
  </si>
  <si>
    <t>Air Pressure Regulator</t>
  </si>
  <si>
    <t>CO2 Regulator</t>
  </si>
  <si>
    <t>CO2 Tank, Composite</t>
  </si>
  <si>
    <t>CO2 Tank, Metallic</t>
  </si>
  <si>
    <t>N2 Regulator</t>
  </si>
  <si>
    <t>N2 Tank, Composite</t>
  </si>
  <si>
    <t>N2 Tank, Metallic</t>
  </si>
  <si>
    <t>Pneumatic Cylinder, Double Acting</t>
  </si>
  <si>
    <t>Pneumatic Cylinder, Single Acting</t>
  </si>
  <si>
    <t>Pneumatic fluidic muscle</t>
  </si>
  <si>
    <t>Pneumatic Valve, Two Position</t>
  </si>
  <si>
    <t>Shift Lever, Bicycle OEM</t>
  </si>
  <si>
    <t>Shift Lever, Honda, 0143719</t>
  </si>
  <si>
    <t>Shifter, Automatic, Flat Shifter Expert</t>
  </si>
  <si>
    <t>Shifter, Automatic, Flat Shifter Max</t>
  </si>
  <si>
    <t>Shifter, Automatic, Kartech, Me-Shifter F1</t>
  </si>
  <si>
    <t>Shifter, Automatic, Kliktronics</t>
  </si>
  <si>
    <t>Shifter, Automatic, Pingel Easy Shift Kit</t>
  </si>
  <si>
    <t>Shifter, Automatic, ProShift PSU Bike Kit</t>
  </si>
  <si>
    <t>Shifter, Automatic, TransLogic TLS-PS1</t>
  </si>
  <si>
    <t>Spring, Small gas spring (General)</t>
  </si>
  <si>
    <t>Spring, Compression (General)</t>
  </si>
  <si>
    <t>Spring, Tension (General)</t>
  </si>
  <si>
    <t>Spring, Torsion (General)</t>
  </si>
  <si>
    <t>Suspension Springs, Coil Spring, Steel</t>
  </si>
  <si>
    <t>Suspension Springs, Coil Spring, Titanium</t>
  </si>
  <si>
    <t>Steering Column Universal Joint</t>
  </si>
  <si>
    <t>Steering Column Universal Joint, Double</t>
  </si>
  <si>
    <t>Steering Pinion (All Cost as Made)</t>
  </si>
  <si>
    <t>Steering Rack (All Cost as Made)</t>
  </si>
  <si>
    <t>Steering Rack Housing (All Cost as Made)</t>
  </si>
  <si>
    <t>Steering Wheel (All Cost as Made)</t>
  </si>
  <si>
    <t>Steering Wheel, Quick Release (All Cost as Made)</t>
  </si>
  <si>
    <t>A-Arms (All Cost as Made)</t>
  </si>
  <si>
    <t>Wishbones (All Cost as Made)</t>
  </si>
  <si>
    <t>Tire, American Racer, M32, 8"-15.0 x7.0</t>
  </si>
  <si>
    <t>Tire, American Racer, SD44, 8"-15.0 x6.0</t>
  </si>
  <si>
    <t>Tire, American Racer, SD44, 8"-15.0 x8.0</t>
  </si>
  <si>
    <t>Tire, American Racer,M32, 8"-15.0 x7.0</t>
  </si>
  <si>
    <t>Tire, American Racer,SD44, 8"-15.0 x6.0</t>
  </si>
  <si>
    <t>Tire, American Racer,SD44, 8"-15.0 x8.0</t>
  </si>
  <si>
    <t>Tire, American Racer,M28, 13"-21.8 x10</t>
  </si>
  <si>
    <t>Tire, Avon, A45, 10"-16.0 x 7.2</t>
  </si>
  <si>
    <t>Tire, Avon, A45, 13"-20.0 x 6.2</t>
  </si>
  <si>
    <t>Tire, Avon, A45, 13"-20.0 x 7.2</t>
  </si>
  <si>
    <t>Tire, Avon, A45, 13"-20.0 x 8.2</t>
  </si>
  <si>
    <t>Tire, Bridgestone, 13"-180mm/510mm</t>
  </si>
  <si>
    <t>Tire, Continental, 13"</t>
  </si>
  <si>
    <t>Tire, Dunlop Motorsport, 10", 160mm/490mm</t>
  </si>
  <si>
    <t>Tire, Dunlop Motorsport, 13", 175mm/505mm</t>
  </si>
  <si>
    <t>Tire, Goodyear, D2692, 13"-20.0 x 7.0</t>
  </si>
  <si>
    <t>Tire, Goodyear, R065, 13"-20.0 x 7.0</t>
  </si>
  <si>
    <t>Tire, Goodyear, R075, 13"-20.0 x 7.0</t>
  </si>
  <si>
    <t>Tire, Hoosier, LC0, 10"-18.0 x 6.0</t>
  </si>
  <si>
    <t>Tire, Hoosier, LC0, 10"-18.0 x 7.0</t>
  </si>
  <si>
    <t>Tire, Hoosier, R25B, 10"-18.0 x 6.0</t>
  </si>
  <si>
    <t>Tire, Hoosier, R25B, 10"-18.0 x 7.5</t>
  </si>
  <si>
    <t>Tire, Hoosier, R25B, 10"-19.5 x 6.5</t>
  </si>
  <si>
    <t>Tire, Hoosier, R25B, 10"-19.5 x 7.5</t>
  </si>
  <si>
    <t>Tire, Hoosier, R25B, 13"-20.0 x 7.5</t>
  </si>
  <si>
    <t>Tire, Hoosier, R25B, 13"-20.0 x 8.0</t>
  </si>
  <si>
    <t>Tire, Hoosier, R25B, 13"-20.0 x 9.0</t>
  </si>
  <si>
    <t>Tire, Hoosier, R25B, 13"-20.5 x 6.0</t>
  </si>
  <si>
    <t>Tire, Hoosier, R25B, 13"-20.5 x 7.0</t>
  </si>
  <si>
    <t>Tire, Hoosier, Wet, 10"-19.5 x 6.5</t>
  </si>
  <si>
    <t>Tire, Hoosier, Wet, 13"-20.0 x 7.5</t>
  </si>
  <si>
    <t>Tire, Hoosier, Wet, 13"-21.0 x 6.5</t>
  </si>
  <si>
    <t>Tire, Kumho, ECSTA, 13"-170mm/515mm</t>
  </si>
  <si>
    <t>Tire, Michelin, P220, 13"-20.9 x 6.3</t>
  </si>
  <si>
    <t>Tire, Michelin, S6B, 13"-20.9 x 6.3</t>
  </si>
  <si>
    <t>Tire, Pirelli, 13"-180mm/530mm</t>
  </si>
  <si>
    <t>Tire, Pirelli, 13"-200mm/540mm</t>
  </si>
  <si>
    <t>Tire, Pirelli, 13"-250mm/575mm SUPERSOFT</t>
  </si>
  <si>
    <t>Tire, Treaded Production Car Not Listed Above</t>
  </si>
  <si>
    <t>Tire, Yokohoma, ADVAN Dry, 13" 160-55</t>
  </si>
  <si>
    <t>Tire, Yokohoma, ADVAN Wet, 13" 160-55</t>
  </si>
  <si>
    <t>Valve Stem (and Tire Inflation)</t>
  </si>
  <si>
    <t>Wheel Center, Any Size, Student Made</t>
  </si>
  <si>
    <t>Wheel Shells, 10", 2 Piece, Keizer, Aluminum</t>
  </si>
  <si>
    <t>Wheel Shells, 10", 3 Piece, Keizer, Aluminum</t>
  </si>
  <si>
    <t>Wheel Shells, 13" Inner, 4" Wide, Kodiak, Aluminum</t>
  </si>
  <si>
    <t>Wheel Shells, 13" Inner, 4.5" Wide, Kodiak, Alum.</t>
  </si>
  <si>
    <t>Wheel Shells, 13" Inner, 5" Wide, Kodiak, Alum.</t>
  </si>
  <si>
    <t>Wheel Shells, 13" Inner, 6" Wide, Kodiak, Alum.</t>
  </si>
  <si>
    <t>Wheel Shells, 13" Outer, 1" Wide, Kodiak, Alum.</t>
  </si>
  <si>
    <t>Wheel Shells, 13" Outer, 1.5" Wide, Kodiak, Alum.</t>
  </si>
  <si>
    <t>Wheel Shells, 13" Outer, 2" Wide, Kodiak, Alum.</t>
  </si>
  <si>
    <t>Wheel Shells, 13", 3 Piece, Jongbloed, Alum.</t>
  </si>
  <si>
    <t>Wheel Shells, 13", 3 Piece, Jongbloed, Magnesium</t>
  </si>
  <si>
    <t>Wheel Shells, 13", 3 Piece, Keizer, Aluminum</t>
  </si>
  <si>
    <t>Weld</t>
  </si>
  <si>
    <t>Wheel Shells, 13", 3 Piece, Weld, Aluminum</t>
  </si>
  <si>
    <t>Wheel Weights (and Balancing)</t>
  </si>
  <si>
    <t>Wheel, 10", 1 Piece OEM, Aluminum</t>
  </si>
  <si>
    <t>Wheel, 10", 1 Piece OEM, Magnesium</t>
  </si>
  <si>
    <t>Wheel, 10", 1 Piece OEM, Steel</t>
  </si>
  <si>
    <t>Wheel, 10", 1 Piece, Carbon Fiber, Purchased</t>
  </si>
  <si>
    <t>Wheel, 10", 1 Piece, Carbon Fiber, Student Made</t>
  </si>
  <si>
    <t>Wheel, 10", 1 Piece, DWT, Alumalite, Aluminum, Model 011-05</t>
  </si>
  <si>
    <t>Wheel, 10", 1 Piece OZ, Magnesium</t>
  </si>
  <si>
    <t>Wheel, 10", 2 Piece, HiPer Racing, Carbon-plastic, CF1, Inner Half</t>
  </si>
  <si>
    <t>Wheel, 10", 2 Piece, HiPer Racing, Carbon-plastic, Tec 3, Inner Half</t>
  </si>
  <si>
    <t>Wheel, 10", 3 Piece, Force-Racing V5, Aluminum</t>
  </si>
  <si>
    <t>Wheel, 10", 3 Piece, Keizer, Aluminum</t>
  </si>
  <si>
    <t>Wheel, 13", 1 Piece OEM, Aluminum</t>
  </si>
  <si>
    <t>Wheel, 13", 1 Piece OEM, Magnesium</t>
  </si>
  <si>
    <t>Wheel, 13", 1 Piece OEM, Steel</t>
  </si>
  <si>
    <t>Wheel, 13", 1 Piece OZ, Aluminum</t>
  </si>
  <si>
    <t>Wheel, 13", 1 Piece OZ, Magnesium</t>
  </si>
  <si>
    <t>Wheel, 13", 1 Piece, Braid, Formrace, Aluminum, Model 16, 7" Wide</t>
  </si>
  <si>
    <t>Wheel, 13", 1 Piece, Braid, Sturace, Aluminum, 7" Wide</t>
  </si>
  <si>
    <t>Wheel, 13", 1 Piece, Carbon Fiber, Purchased</t>
  </si>
  <si>
    <t>Wheel, 13", 1 Piece, Carbon Fiber, Student Made</t>
  </si>
  <si>
    <t>Wheel, 13", 1 Piece, Compomotive XR1380</t>
  </si>
  <si>
    <t>Wheel, 13", 1 Piece, Orbital 861, Aluminum</t>
  </si>
  <si>
    <t>Wheel, 13", 1 Piece, Volk  TE37, Aluminum</t>
  </si>
  <si>
    <t>Wheel, 13", 1 Piece, Watanabe, Magnesium, 6-Spoke, Widths 10-12</t>
  </si>
  <si>
    <t>Wheel, 13", 1 Piece, Watanabe, Magnesium, 6-Spoke, Widths 8-9.5</t>
  </si>
  <si>
    <t>Wheel, 13", 2 Piece, Braid, Formrace, Aluminum, Model 16, 6" Wide</t>
  </si>
  <si>
    <t>Wheel, 13", 3 Piece, Bogar RT-4, Aluminum</t>
  </si>
  <si>
    <t>Wheel, 13", 3 Piece, Force-Racing DSY, Aluminum</t>
  </si>
  <si>
    <t>Wheel, 13", 3 Piece, Jongbloed, Aluminum</t>
  </si>
  <si>
    <t>Wheel, 13", 3 Piece, Jongbloed, Magnesium</t>
  </si>
  <si>
    <t>Wheel, 13", 3 Piece, Keizer, Aluminum</t>
  </si>
  <si>
    <t>Wheel, 13", 3 Piece, Keizer, Magnesium</t>
  </si>
  <si>
    <t>Wheel, 13", 3 Piece, Weld, Aluminum</t>
  </si>
  <si>
    <t>Wheel, 13", BBS, Magnesium, Cast, R-RE-325</t>
  </si>
  <si>
    <t>Wheel, 13", Magnesium, BBS, Forged</t>
  </si>
  <si>
    <t>Wheel, 15", 1 Piece OEM, Aluminum</t>
  </si>
  <si>
    <t>Wheel, 15", 1 Piece OEM, Magnesium</t>
  </si>
  <si>
    <t>Wheel, 15", 1 Piece OEM, Steel</t>
  </si>
  <si>
    <t>Wheel, 15", 1 Piece, Carbon Fiber, Purchased</t>
  </si>
  <si>
    <t>Wheel, 15", 1 Piece, Carbon Fiber, Student Made</t>
  </si>
  <si>
    <t>Wheel, 8", 1 Piece, DWT, Alumalite, Aluminum, 7-8"</t>
  </si>
  <si>
    <t>Ass</t>
  </si>
  <si>
    <t>M/B</t>
  </si>
  <si>
    <t>Brass</t>
  </si>
  <si>
    <t>Bronze</t>
  </si>
  <si>
    <t>Copper</t>
  </si>
  <si>
    <t>Cork</t>
  </si>
  <si>
    <t>Inconel</t>
  </si>
  <si>
    <t>Iron</t>
  </si>
  <si>
    <t>Magnesium</t>
  </si>
  <si>
    <t>Nickel</t>
  </si>
  <si>
    <t>Rubber</t>
  </si>
  <si>
    <t>Titanium</t>
  </si>
  <si>
    <t>Aramid (Kevlar) Fiber, 1 Ply</t>
  </si>
  <si>
    <t>Basalt Fiber, 1 Ply</t>
  </si>
  <si>
    <t>Carbon Fiber, 1 Ply</t>
  </si>
  <si>
    <t>Flax Fiber, 1 Ply</t>
  </si>
  <si>
    <t>Glass Fiber, 1 Ply</t>
  </si>
  <si>
    <t>Structural Foam</t>
  </si>
  <si>
    <t>Fabric</t>
  </si>
  <si>
    <t>Glass</t>
  </si>
  <si>
    <t>Leather</t>
  </si>
  <si>
    <t>Suede</t>
  </si>
  <si>
    <t>Aluminum</t>
  </si>
  <si>
    <t>Plastic</t>
  </si>
  <si>
    <t>Steel</t>
  </si>
  <si>
    <t>Wood</t>
  </si>
  <si>
    <t>Honeycomb</t>
  </si>
  <si>
    <t>Flax Fiber</t>
  </si>
  <si>
    <t>Glass Fiber</t>
  </si>
  <si>
    <t>MATERIAL</t>
  </si>
  <si>
    <t>PROCESSES</t>
  </si>
  <si>
    <t>Basic_Forming</t>
  </si>
  <si>
    <t>Die Casting</t>
  </si>
  <si>
    <t>Investment Casting</t>
  </si>
  <si>
    <t>Plastic injection molding</t>
  </si>
  <si>
    <t>Powder Metal Forming</t>
  </si>
  <si>
    <t>Rapid Prototype - Composite</t>
  </si>
  <si>
    <t>Rapid Prototype - Metal</t>
  </si>
  <si>
    <t>Rapid Prototype - Plastic</t>
  </si>
  <si>
    <t>Sand Casting</t>
  </si>
  <si>
    <t>Vacuum Form</t>
  </si>
  <si>
    <t>Coating</t>
  </si>
  <si>
    <t>Exhaust System Ceramic Coating</t>
  </si>
  <si>
    <t>Proc.Composite</t>
  </si>
  <si>
    <t>Cure, Autoclave</t>
  </si>
  <si>
    <t>Cure, Oven</t>
  </si>
  <si>
    <t>Cure, Room Temperature</t>
  </si>
  <si>
    <t>Lamination, Fillament Winding</t>
  </si>
  <si>
    <t>Lamination, Manual</t>
  </si>
  <si>
    <t>Potting</t>
  </si>
  <si>
    <t>Resin application, Infusion Molding</t>
  </si>
  <si>
    <t>Resin application, Manual</t>
  </si>
  <si>
    <t>Electrical_Attach_Wires</t>
  </si>
  <si>
    <t>Attach Wire, Fork</t>
  </si>
  <si>
    <t>Attach Wire, Quick connect terminal</t>
  </si>
  <si>
    <t>Attach Wire, Ring</t>
  </si>
  <si>
    <t>Attach Wire, Solder wire, bent</t>
  </si>
  <si>
    <t>Attach Wire, Solder wire, not bent</t>
  </si>
  <si>
    <t>Attach Wire, Terminated wire with screw</t>
  </si>
  <si>
    <t>Attach Wire, Terminated wire with screw and nut</t>
  </si>
  <si>
    <t>Attach Wire, Wire to screw</t>
  </si>
  <si>
    <t>Attach Wire, Wire to screw with nut</t>
  </si>
  <si>
    <t>Attach Wire, Wire to terminal block</t>
  </si>
  <si>
    <t>Attach Wire, Wire wrap around terminal post</t>
  </si>
  <si>
    <t>Electrical_Bundle_Install</t>
  </si>
  <si>
    <t>Install Tie Wrap (Zip Tie, Cable Clamp)</t>
  </si>
  <si>
    <t>Wire Dressing (Install and route)</t>
  </si>
  <si>
    <t>Electrical_Bundle_Processing</t>
  </si>
  <si>
    <t>Insert Bundle Into Tube or Sleeve</t>
  </si>
  <si>
    <t>Install Adhesive Cable Clamp</t>
  </si>
  <si>
    <t>Lace</t>
  </si>
  <si>
    <t>Shrink Tube</t>
  </si>
  <si>
    <t>Taping Wire Bundle</t>
  </si>
  <si>
    <t>Electrical_Connections</t>
  </si>
  <si>
    <t>Connector Install, Circular, Bayonet</t>
  </si>
  <si>
    <t>Connector Install, Circular, Friction</t>
  </si>
  <si>
    <t>Connector Install, Circular, Screw Thread</t>
  </si>
  <si>
    <t>Connector Install, Square, Friction</t>
  </si>
  <si>
    <t>Connector Install, Square, Latch/Snap-on Type</t>
  </si>
  <si>
    <t>Connector Install, Square, Screw (x2)</t>
  </si>
  <si>
    <t>Connector Install, Square, Spring Clip</t>
  </si>
  <si>
    <t>Electrical_Layouts</t>
  </si>
  <si>
    <t>Lay Wire - Control</t>
  </si>
  <si>
    <t>Lay Wire - Power</t>
  </si>
  <si>
    <t>Lay Wire - Signal</t>
  </si>
  <si>
    <t>Electrical_Prep</t>
  </si>
  <si>
    <t>Crimp Wire</t>
  </si>
  <si>
    <t>Cut wire</t>
  </si>
  <si>
    <t>Strip Multi-Conductor</t>
  </si>
  <si>
    <t>Strip Wire</t>
  </si>
  <si>
    <t>Tin Wire</t>
  </si>
  <si>
    <t>Electrical_Wire_in_Connector</t>
  </si>
  <si>
    <t>Connector Assembley, Crimp</t>
  </si>
  <si>
    <t>Connector Assembley, Solder</t>
  </si>
  <si>
    <t>Hand - Start Only</t>
  </si>
  <si>
    <t>Hand, Loose &lt;= 25.4 mm</t>
  </si>
  <si>
    <t>Hand, Loose &lt;= 6.35 mm</t>
  </si>
  <si>
    <t>Hand, Loose &gt; 25.4 mm</t>
  </si>
  <si>
    <t>Hand, Tight &lt;= 6.35 mm</t>
  </si>
  <si>
    <t>Power Tool &lt;= 25.4 mm</t>
  </si>
  <si>
    <t>Power Tool &lt;= 6.35 mm</t>
  </si>
  <si>
    <t>Power Tool &gt; 25.4 mm</t>
  </si>
  <si>
    <t>Ratchet &lt;= 25.4 mm</t>
  </si>
  <si>
    <t>Ratchet &lt;= 6.35 mm</t>
  </si>
  <si>
    <t>Ratchet &gt; 25.4 mm</t>
  </si>
  <si>
    <t>Reaction Tool &lt;= 25.4 mm</t>
  </si>
  <si>
    <t>Reaction Tool &lt;= 6.35 mm</t>
  </si>
  <si>
    <t>Reaction Tool &gt; 25.4 mm</t>
  </si>
  <si>
    <t>Screwdriver &lt; 1 Turn</t>
  </si>
  <si>
    <t>Screwdriver &gt; 1 Turn</t>
  </si>
  <si>
    <t>Wrench &lt;= 25.4 mm</t>
  </si>
  <si>
    <t>Wrench &lt;= 6.35 mm</t>
  </si>
  <si>
    <t>Wrench &gt; 25.4 mm</t>
  </si>
  <si>
    <t>Joining</t>
  </si>
  <si>
    <t>Braze</t>
  </si>
  <si>
    <t>Sewing</t>
  </si>
  <si>
    <t>Labor</t>
  </si>
  <si>
    <t>Adjustment - Misc.</t>
  </si>
  <si>
    <t>Aerosol Apply</t>
  </si>
  <si>
    <t>Annodize</t>
  </si>
  <si>
    <t>Assemble, &gt;20 kg, Interference</t>
  </si>
  <si>
    <t>Assemble, &gt;20 kg, Line-on-Line</t>
  </si>
  <si>
    <t>Assemble, &gt;20 kg, Loose</t>
  </si>
  <si>
    <t>Assemble, 1 kg, Interference</t>
  </si>
  <si>
    <t>Assemble, 1 kg, Line-on-Line</t>
  </si>
  <si>
    <t>Assemble, 1 kg, Loose</t>
  </si>
  <si>
    <t>Assemble, 10 kg, Interference</t>
  </si>
  <si>
    <t>Assemble, 10 kg, Line-on-Line</t>
  </si>
  <si>
    <t>Assemble, 10 kg, Loose</t>
  </si>
  <si>
    <t>Assemble, 15 kg, Interference</t>
  </si>
  <si>
    <t>Assemble, 15 kg, Line-on-Line</t>
  </si>
  <si>
    <t>Assemble, 15 kg, Loose</t>
  </si>
  <si>
    <t>Assemble, 20 kg, Interference</t>
  </si>
  <si>
    <t>Assemble, 20 kg, Line-on-Line</t>
  </si>
  <si>
    <t>Assemble, 20 kg, Loose</t>
  </si>
  <si>
    <t>Assemble, 3 kg, Interference</t>
  </si>
  <si>
    <t>Assemble, 3 kg, Line-on-Line</t>
  </si>
  <si>
    <t>Assemble, 3 kg, Loose</t>
  </si>
  <si>
    <t>Assemble, 5 kg, Interference</t>
  </si>
  <si>
    <t>Assemble, 5 kg, Line-on-Line</t>
  </si>
  <si>
    <t>Assemble, 5 kg, Loose</t>
  </si>
  <si>
    <t>Brake Bleed - Per Bleeder Valve</t>
  </si>
  <si>
    <t>Brush Apply</t>
  </si>
  <si>
    <t>Chrome plating</t>
  </si>
  <si>
    <t>Cut (scissors, knife)</t>
  </si>
  <si>
    <t>Engine first start, includes fuel</t>
  </si>
  <si>
    <t>Galvanize coating</t>
  </si>
  <si>
    <t>Heat Treatment</t>
  </si>
  <si>
    <t>Liquid Applicator Gun</t>
  </si>
  <si>
    <t>Liquid Apply - Pour Expanding Foam</t>
  </si>
  <si>
    <t>Liquid Apply - Spot</t>
  </si>
  <si>
    <t>Machining Setup, Change</t>
  </si>
  <si>
    <t>Machining Setup, Install and remove</t>
  </si>
  <si>
    <t>Riveting</t>
  </si>
  <si>
    <t>Safety Wire, Install</t>
  </si>
  <si>
    <t>Suspension Setup - Solid Axle (per corner)</t>
  </si>
  <si>
    <t>Suspension Setup-Independent Susp. (per corner)</t>
  </si>
  <si>
    <t>Material Removal</t>
  </si>
  <si>
    <t>Broach, External</t>
  </si>
  <si>
    <t>Broach, Internal</t>
  </si>
  <si>
    <t>Drilled hole &lt; 50.8 mm dia.</t>
  </si>
  <si>
    <t>Drilled holes &lt; 25.4 mm dia.</t>
  </si>
  <si>
    <t>EDM - Plunge</t>
  </si>
  <si>
    <t>EDM - Wire</t>
  </si>
  <si>
    <t>Gear Shaping (hobbing)</t>
  </si>
  <si>
    <t>Grind, Cylindrical</t>
  </si>
  <si>
    <t>Grind, Flat</t>
  </si>
  <si>
    <t>Grind, Profile</t>
  </si>
  <si>
    <t>Hand Finish - Material Removal</t>
  </si>
  <si>
    <t>Hand Finish - Surface Preperation</t>
  </si>
  <si>
    <t>Knurling</t>
  </si>
  <si>
    <t>Laser Cut</t>
  </si>
  <si>
    <t>Machining</t>
  </si>
  <si>
    <t>Mill - Form Cutter</t>
  </si>
  <si>
    <t>Non-metallic cutting &lt;= 25.4 mm</t>
  </si>
  <si>
    <t>Non-metallic cutting &lt;= 50.8 mm</t>
  </si>
  <si>
    <t>Non-metallic cutting &lt;= 76.2 mm</t>
  </si>
  <si>
    <t>Non-metallic cutting &gt; 76.2 mm</t>
  </si>
  <si>
    <t>Plasma Cutting</t>
  </si>
  <si>
    <t>Reemed hole</t>
  </si>
  <si>
    <t>Saw or tubing cuts</t>
  </si>
  <si>
    <t>Tapping holes</t>
  </si>
  <si>
    <t>Threading, External (machining)</t>
  </si>
  <si>
    <t>Threading, Internal (machining)</t>
  </si>
  <si>
    <t>Waterjet Cut</t>
  </si>
  <si>
    <t>Shaping</t>
  </si>
  <si>
    <t>Spinning, Metal</t>
  </si>
  <si>
    <t>SheetMaterials</t>
  </si>
  <si>
    <t>Sheet metal bends</t>
  </si>
  <si>
    <t>Sheet metal punching</t>
  </si>
  <si>
    <t>Sheet Metal Saw Cut</t>
  </si>
  <si>
    <t>Sheet metal shearing</t>
  </si>
  <si>
    <t>Sheet metal stamping</t>
  </si>
  <si>
    <t>Tubing</t>
  </si>
  <si>
    <t>Tube bends</t>
  </si>
  <si>
    <t>Tube cut</t>
  </si>
  <si>
    <t>Tube end preperation for welding</t>
  </si>
  <si>
    <t>Tube Flare/Bead</t>
  </si>
  <si>
    <t>Weld - Round Tubing</t>
  </si>
  <si>
    <t>FASTENERS</t>
  </si>
  <si>
    <t>TOOLING</t>
  </si>
  <si>
    <t>Ceramic Matrix</t>
  </si>
  <si>
    <t>Composite, 1 Ply</t>
  </si>
  <si>
    <t>Control Unit (bought)</t>
  </si>
  <si>
    <t>Control Unit (made)</t>
  </si>
  <si>
    <t>Electronic Component</t>
  </si>
  <si>
    <t>Magnet</t>
  </si>
  <si>
    <t>Motor, Non Tractive</t>
  </si>
  <si>
    <t>Polypropylene</t>
  </si>
  <si>
    <t>Sensor Unit (Made)</t>
  </si>
  <si>
    <t>Sensor Unit (Bought)</t>
  </si>
  <si>
    <t>Wheel (complete)</t>
  </si>
  <si>
    <t>Wheel (Center)</t>
  </si>
  <si>
    <t>Wheel Shells</t>
  </si>
  <si>
    <t>Assemble</t>
  </si>
  <si>
    <t>Attach wire</t>
  </si>
  <si>
    <t>Brake Bleed - Per Bleed Valve</t>
  </si>
  <si>
    <t>Broach</t>
  </si>
  <si>
    <t>Casting</t>
  </si>
  <si>
    <t>Connector Assembly</t>
  </si>
  <si>
    <t>Connector Instal</t>
  </si>
  <si>
    <t>Cure</t>
  </si>
  <si>
    <t>Cutting (Manual)</t>
  </si>
  <si>
    <t>Drilled hole</t>
  </si>
  <si>
    <t>Engine First start</t>
  </si>
  <si>
    <t>Fastener Install (every)</t>
  </si>
  <si>
    <t>Grinding</t>
  </si>
  <si>
    <t>Hand Finish</t>
  </si>
  <si>
    <t>Heat treatment</t>
  </si>
  <si>
    <t>Lamination</t>
  </si>
  <si>
    <t>Rapid Prototype</t>
  </si>
  <si>
    <t>Plastic Injection Molding</t>
  </si>
  <si>
    <t>Reemed Hole</t>
  </si>
  <si>
    <t>Resin Application</t>
  </si>
  <si>
    <t>Sheet metal Process</t>
  </si>
  <si>
    <t>Strip, Multi  - Conductor</t>
  </si>
  <si>
    <t>Suspension Setup - Independent Susp. (per corner)</t>
  </si>
  <si>
    <t>Tapping Holes</t>
  </si>
  <si>
    <t>Threading</t>
  </si>
  <si>
    <t>Tube Process</t>
  </si>
  <si>
    <t>Wire Dressing (Install and Route)</t>
  </si>
  <si>
    <t>Wire Process</t>
  </si>
  <si>
    <t>Other</t>
  </si>
  <si>
    <t>Bolt</t>
  </si>
  <si>
    <t>Hose Clamp</t>
  </si>
  <si>
    <t>Nut</t>
  </si>
  <si>
    <t>Plumping</t>
  </si>
  <si>
    <t>Retaining Ring</t>
  </si>
  <si>
    <t>Snap</t>
  </si>
  <si>
    <t>Straps</t>
  </si>
  <si>
    <t>Washer</t>
  </si>
  <si>
    <t>Rivet</t>
  </si>
  <si>
    <t>Tie wrap</t>
  </si>
  <si>
    <t>Braze Fixure</t>
  </si>
  <si>
    <t>Injection Molding</t>
  </si>
  <si>
    <t>Lamination - Aluminum Tool</t>
  </si>
  <si>
    <t>Lamination - Composite Tool</t>
  </si>
  <si>
    <t>Lamination - Steel Tool</t>
  </si>
  <si>
    <t>Liquid Apply Tooling</t>
  </si>
  <si>
    <t>Welding Fixure</t>
  </si>
  <si>
    <t>BOUGHT</t>
  </si>
  <si>
    <r>
      <t xml:space="preserve">Cost
</t>
    </r>
    <r>
      <rPr>
        <b/>
        <sz val="8"/>
        <color theme="1"/>
        <rFont val="Arial"/>
        <family val="2"/>
        <charset val="161"/>
      </rPr>
      <t>(per piece)</t>
    </r>
  </si>
  <si>
    <t>Total</t>
  </si>
  <si>
    <t>Insert New Assembly</t>
  </si>
  <si>
    <t>Click Anywhere</t>
  </si>
  <si>
    <t>Hit the "New Assemby Button"</t>
  </si>
  <si>
    <t>Insert New Part</t>
  </si>
  <si>
    <t>Complete user form</t>
  </si>
  <si>
    <t>Click Add</t>
  </si>
  <si>
    <t>Select Assembly in which you would like to add a new part</t>
  </si>
  <si>
    <t>Click "New Part" Button</t>
  </si>
  <si>
    <t>Insert Material/Process/Fastener/Tooling</t>
  </si>
  <si>
    <t>Select the part you wish to add M/P/F/T entry to</t>
  </si>
  <si>
    <t>Click "M/P/F/T/" Button</t>
  </si>
  <si>
    <t>Click "Add" Button</t>
  </si>
  <si>
    <t>Formula Student 2018: 11-15 July 2018</t>
  </si>
  <si>
    <t>EDIT</t>
  </si>
  <si>
    <t xml:space="preserve">You can edit by clicking on cell </t>
  </si>
  <si>
    <t>Keep default empty cells empty</t>
  </si>
  <si>
    <t>Do not delete assemblies headlines</t>
  </si>
  <si>
    <t>GUIDELINES</t>
  </si>
  <si>
    <t>Click calculate button to refresh cost calculations in your BOM</t>
  </si>
  <si>
    <r>
      <t xml:space="preserve">Do not edit assembly headline rows </t>
    </r>
    <r>
      <rPr>
        <b/>
        <i/>
        <sz val="10"/>
        <color theme="1"/>
        <rFont val="Arial"/>
        <family val="2"/>
        <charset val="161"/>
      </rPr>
      <t>(Total Cost etc.)</t>
    </r>
  </si>
  <si>
    <t>In case of error click "End" in dialog box</t>
  </si>
  <si>
    <t>Change macro settings in the Trust Center</t>
  </si>
  <si>
    <t>Macro settings are located in the Trust Center. However, if you work in an organization, the system administrator might have changed the default settings to prevent anyone from changing settings.</t>
  </si>
  <si>
    <r>
      <t>Important:</t>
    </r>
    <r>
      <rPr>
        <sz val="15.4"/>
        <color rgb="FF2F2F2F"/>
        <rFont val="Segoe UI"/>
        <family val="2"/>
        <charset val="161"/>
      </rPr>
      <t> When you change your macro settings in the Trust Center, they are changed only for the Office program that you are currently using. The macro settings are not changed for all your Office programs.</t>
    </r>
  </si>
  <si>
    <r>
      <t>1. Click the </t>
    </r>
    <r>
      <rPr>
        <b/>
        <sz val="11"/>
        <color rgb="FF2F2F2F"/>
        <rFont val="Segoe UI"/>
        <family val="2"/>
        <charset val="161"/>
      </rPr>
      <t>File</t>
    </r>
    <r>
      <rPr>
        <sz val="11"/>
        <color rgb="FF2F2F2F"/>
        <rFont val="Segoe UI"/>
        <family val="2"/>
        <charset val="161"/>
      </rPr>
      <t> tab.</t>
    </r>
  </si>
  <si>
    <r>
      <t>2. Click </t>
    </r>
    <r>
      <rPr>
        <b/>
        <sz val="11"/>
        <color rgb="FF2F2F2F"/>
        <rFont val="Segoe UI"/>
        <family val="2"/>
        <charset val="161"/>
      </rPr>
      <t>Options</t>
    </r>
    <r>
      <rPr>
        <sz val="11"/>
        <color rgb="FF2F2F2F"/>
        <rFont val="Segoe UI"/>
        <family val="2"/>
        <charset val="161"/>
      </rPr>
      <t>.</t>
    </r>
  </si>
  <si>
    <r>
      <t>3. Click </t>
    </r>
    <r>
      <rPr>
        <b/>
        <sz val="11"/>
        <color rgb="FF2F2F2F"/>
        <rFont val="Segoe UI"/>
        <family val="2"/>
        <charset val="161"/>
      </rPr>
      <t>Trust Center</t>
    </r>
    <r>
      <rPr>
        <sz val="11"/>
        <color rgb="FF2F2F2F"/>
        <rFont val="Segoe UI"/>
        <family val="2"/>
        <charset val="161"/>
      </rPr>
      <t>, and then click </t>
    </r>
    <r>
      <rPr>
        <b/>
        <sz val="11"/>
        <color rgb="FF2F2F2F"/>
        <rFont val="Segoe UI"/>
        <family val="2"/>
        <charset val="161"/>
      </rPr>
      <t>Trust Center Settings</t>
    </r>
    <r>
      <rPr>
        <sz val="11"/>
        <color rgb="FF2F2F2F"/>
        <rFont val="Segoe UI"/>
        <family val="2"/>
        <charset val="161"/>
      </rPr>
      <t>.</t>
    </r>
  </si>
  <si>
    <r>
      <t>4. In the </t>
    </r>
    <r>
      <rPr>
        <b/>
        <sz val="11"/>
        <color rgb="FF2F2F2F"/>
        <rFont val="Segoe UI"/>
        <family val="2"/>
        <charset val="161"/>
      </rPr>
      <t>Trust Center</t>
    </r>
    <r>
      <rPr>
        <sz val="11"/>
        <color rgb="FF2F2F2F"/>
        <rFont val="Segoe UI"/>
        <family val="2"/>
        <charset val="161"/>
      </rPr>
      <t>, click </t>
    </r>
    <r>
      <rPr>
        <b/>
        <sz val="11"/>
        <color rgb="FF2F2F2F"/>
        <rFont val="Segoe UI"/>
        <family val="2"/>
        <charset val="161"/>
      </rPr>
      <t>Macro Settings</t>
    </r>
    <r>
      <rPr>
        <sz val="11"/>
        <color rgb="FF2F2F2F"/>
        <rFont val="Segoe UI"/>
        <family val="2"/>
        <charset val="161"/>
      </rPr>
      <t>.</t>
    </r>
  </si>
  <si>
    <r>
      <t>6. Click </t>
    </r>
    <r>
      <rPr>
        <b/>
        <sz val="11"/>
        <color rgb="FF2F2F2F"/>
        <rFont val="Segoe UI"/>
        <family val="2"/>
        <charset val="161"/>
      </rPr>
      <t>OK</t>
    </r>
    <r>
      <rPr>
        <sz val="11"/>
        <color rgb="FF2F2F2F"/>
        <rFont val="Segoe UI"/>
        <family val="2"/>
        <charset val="161"/>
      </rPr>
      <t>.</t>
    </r>
  </si>
  <si>
    <r>
      <t>The following image is the </t>
    </r>
    <r>
      <rPr>
        <b/>
        <sz val="17.600000000000001"/>
        <color rgb="FF2F2F2F"/>
        <rFont val="Segoe UI"/>
        <family val="2"/>
        <charset val="161"/>
      </rPr>
      <t>Macro Settings</t>
    </r>
    <r>
      <rPr>
        <sz val="17.600000000000001"/>
        <color rgb="FF2F2F2F"/>
        <rFont val="Segoe UI"/>
        <family val="2"/>
        <charset val="161"/>
      </rPr>
      <t> area of the Trust Center.</t>
    </r>
  </si>
  <si>
    <t>Read Macros tab in order to enable macros in your excel</t>
  </si>
  <si>
    <t>#</t>
  </si>
  <si>
    <t>Status</t>
  </si>
  <si>
    <t>Error</t>
  </si>
  <si>
    <t>Fixed</t>
  </si>
  <si>
    <t>Remove Driverless Sub-assembly</t>
  </si>
  <si>
    <t>Add MPFT error on Option Button 1 - deleted</t>
  </si>
  <si>
    <t>Add assembly - Wrong alert for filling details - check values according to M or B</t>
  </si>
  <si>
    <t xml:space="preserve">Add assembly - Wrong alert for filling details - except cost * comments from necessary fields </t>
  </si>
  <si>
    <t>Delete - Delete +1 empty row - Maintain layout</t>
  </si>
  <si>
    <t>Other as last option in all drop down menus</t>
  </si>
  <si>
    <t>Lock cells to maintain layout (locked Rows 1-3, Assembly head lines )</t>
  </si>
  <si>
    <t>MPFT</t>
  </si>
  <si>
    <t>Error handler</t>
  </si>
  <si>
    <t>Cover photo - Car Photo
Insert&gt;Picture</t>
  </si>
  <si>
    <t>FRAME &amp; BODY</t>
  </si>
  <si>
    <t>Start with Add New Assembly!</t>
  </si>
  <si>
    <t>Calculate</t>
  </si>
  <si>
    <t>Click somewhere in the system you want to calculate</t>
  </si>
  <si>
    <t>Click "Calculate" button</t>
  </si>
  <si>
    <t>Number Formatting 888,888.99 €</t>
  </si>
  <si>
    <t>5. Make the selections"Enable all macros".</t>
  </si>
  <si>
    <t>comments</t>
  </si>
  <si>
    <t>part comments</t>
  </si>
  <si>
    <t>m</t>
  </si>
  <si>
    <t>MS-A-0501</t>
  </si>
  <si>
    <t>MS-501-011</t>
  </si>
  <si>
    <t>M</t>
  </si>
  <si>
    <t>Material Input</t>
  </si>
  <si>
    <t>cost comments</t>
  </si>
  <si>
    <t>MS-501-011-01</t>
  </si>
  <si>
    <t>F</t>
  </si>
  <si>
    <t>MS-501-011-02</t>
  </si>
  <si>
    <t>b</t>
  </si>
  <si>
    <t>MS-501-012</t>
  </si>
  <si>
    <t>Bought Part 2</t>
  </si>
  <si>
    <t>MS-501-013</t>
  </si>
  <si>
    <t>needs MPFTs to have cost</t>
  </si>
  <si>
    <t>MS-501-014</t>
  </si>
  <si>
    <t>P</t>
  </si>
  <si>
    <t>MS-501-014-03</t>
  </si>
  <si>
    <t>Made Part 1</t>
  </si>
  <si>
    <t>Bought Part 1</t>
  </si>
  <si>
    <t xml:space="preserve">Made Part 2 </t>
  </si>
  <si>
    <t>Misc. Assembly</t>
  </si>
  <si>
    <t>DELETE</t>
  </si>
  <si>
    <t>Choose an assembly, part, of MPFT to delete.</t>
  </si>
  <si>
    <t>Click on its name</t>
  </si>
  <si>
    <t>Click "Delete" button</t>
  </si>
  <si>
    <t>** Delete button deletes the entire entry, entire rows.</t>
  </si>
  <si>
    <t>* It is recommended to use delete button to delete any input in order to maintain template's structure</t>
  </si>
  <si>
    <t>Yellow cells must be indiacted as blank. Cells with orange lettering could be blank but is up to you!
Sub system colored cells should also be blank according to this example.</t>
  </si>
  <si>
    <t>ST-A-0600</t>
  </si>
  <si>
    <t>ST-600-010</t>
  </si>
  <si>
    <t>ST-600-010-01</t>
  </si>
  <si>
    <t>ST-600-010-02</t>
  </si>
  <si>
    <t>D6 Hole</t>
  </si>
  <si>
    <t>ST-600-010-04</t>
  </si>
  <si>
    <t>M8 Thread</t>
  </si>
  <si>
    <t>ST-600-010-05</t>
  </si>
  <si>
    <t>Milling</t>
  </si>
  <si>
    <t>Turning</t>
  </si>
  <si>
    <t>ST-600-010-06</t>
  </si>
  <si>
    <t>Rack</t>
  </si>
  <si>
    <t>Pinion</t>
  </si>
  <si>
    <t>ST-600-011</t>
  </si>
  <si>
    <t>ST-600-012</t>
  </si>
  <si>
    <t>ST-600-013</t>
  </si>
  <si>
    <t xml:space="preserve">AISI 8640 Steel </t>
  </si>
  <si>
    <t>AISI 8640 Steel</t>
  </si>
  <si>
    <t>ST-600-011-08</t>
  </si>
  <si>
    <t>ST-600-011-09</t>
  </si>
  <si>
    <t>ST-600-011-011</t>
  </si>
  <si>
    <t>ST-600-011-012</t>
  </si>
  <si>
    <t>ST-600-011-013</t>
  </si>
  <si>
    <t>ST-600-014</t>
  </si>
  <si>
    <t>Bushings</t>
  </si>
  <si>
    <t>ST-600-015</t>
  </si>
  <si>
    <t>Upper Bearing</t>
  </si>
  <si>
    <t>6202-2RSH2</t>
  </si>
  <si>
    <t>ST-600-016</t>
  </si>
  <si>
    <t>Bottom Bearing</t>
  </si>
  <si>
    <t>61802-2Z2</t>
  </si>
  <si>
    <t>ST-600-017</t>
  </si>
  <si>
    <t>7075 T6</t>
  </si>
  <si>
    <t>ST-600-012-014</t>
  </si>
  <si>
    <t>ST-600-012-015</t>
  </si>
  <si>
    <t>ST-600-012-016</t>
  </si>
  <si>
    <t>M8 thread</t>
  </si>
  <si>
    <t>ST-600-012-017</t>
  </si>
  <si>
    <t>ST-600-013-018</t>
  </si>
  <si>
    <t>CNC Milling</t>
  </si>
  <si>
    <t>ST-600-013-019</t>
  </si>
  <si>
    <t>ST-600-013-020</t>
  </si>
  <si>
    <t>DIN472- 24X1.2</t>
  </si>
  <si>
    <t>ST-600-013-021</t>
  </si>
  <si>
    <t>DIN472- 35X1.75</t>
  </si>
  <si>
    <t>DIN471-15x1</t>
  </si>
  <si>
    <t>ST-600-011-023</t>
  </si>
  <si>
    <t>ST-600-013-025</t>
  </si>
  <si>
    <t>ST-600-010-07</t>
  </si>
  <si>
    <t>DIN 7991-M4 4x6</t>
  </si>
  <si>
    <t>DIN EN 24017 M4x20</t>
  </si>
  <si>
    <t>ST-600-013-026</t>
  </si>
  <si>
    <t>Rack Clevis</t>
  </si>
  <si>
    <t>ST-600-012-028</t>
  </si>
  <si>
    <t>DIN EN 24017 M8x50</t>
  </si>
  <si>
    <t>Steel brake discs</t>
  </si>
  <si>
    <t>BR-A-0100</t>
  </si>
  <si>
    <t>BR-100-010</t>
  </si>
  <si>
    <t>Rear brake discs</t>
  </si>
  <si>
    <t>BR-100-011</t>
  </si>
  <si>
    <t>Front brake discs</t>
  </si>
  <si>
    <t>Air-cooled 220mm brake discs</t>
  </si>
  <si>
    <t>Brake fluid</t>
  </si>
  <si>
    <t>BR-A-0102</t>
  </si>
  <si>
    <t>BR-102-012</t>
  </si>
  <si>
    <t>Air-cooled 200mm steel brake discs</t>
  </si>
  <si>
    <t>BR-100-010-01</t>
  </si>
  <si>
    <t>BR-100-010-02</t>
  </si>
  <si>
    <t>BR-A-0105</t>
  </si>
  <si>
    <t>Front Caliper</t>
  </si>
  <si>
    <t>BR-A-0106</t>
  </si>
  <si>
    <t>BR-100-011-06</t>
  </si>
  <si>
    <t>BR-100-011-07</t>
  </si>
  <si>
    <t>Rear Caliper</t>
  </si>
  <si>
    <t>Brake Line</t>
  </si>
  <si>
    <t>Steel Tube</t>
  </si>
  <si>
    <t>High pressure,steel tubing</t>
  </si>
  <si>
    <t>BR-A-0111</t>
  </si>
  <si>
    <t>BR-111-021</t>
  </si>
  <si>
    <t>BR-111-022</t>
  </si>
  <si>
    <t>BR-111-022-012</t>
  </si>
  <si>
    <t xml:space="preserve">Tube Flare/Bead </t>
  </si>
  <si>
    <t>BR-111-022-013</t>
  </si>
  <si>
    <t>Tube Cut</t>
  </si>
  <si>
    <t>BR-111-022-014</t>
  </si>
  <si>
    <t>BR-111-022-015</t>
  </si>
  <si>
    <t>Fluid Reservoir</t>
  </si>
  <si>
    <t>Large Reservoir(10.7 oz.)</t>
  </si>
  <si>
    <t>BR-A-0114</t>
  </si>
  <si>
    <t>BR-114-024</t>
  </si>
  <si>
    <t>Fitting</t>
  </si>
  <si>
    <t>BR-111-026</t>
  </si>
  <si>
    <t>Wrench</t>
  </si>
  <si>
    <t>BR-111-026-016</t>
  </si>
  <si>
    <t>Steel,Stainless</t>
  </si>
  <si>
    <t>Front Brake Pads</t>
  </si>
  <si>
    <t>Rear Brake Pads</t>
  </si>
  <si>
    <t>BR-106-031</t>
  </si>
  <si>
    <t>BR-105-032</t>
  </si>
  <si>
    <t>BR-105-033</t>
  </si>
  <si>
    <t>BR-106-034</t>
  </si>
  <si>
    <t>Motul DOT 5.1 (0.3 liter used)</t>
  </si>
  <si>
    <t>Copper Crush Washer</t>
  </si>
  <si>
    <t>BR-111-026-024</t>
  </si>
  <si>
    <t>BR-111-026-025</t>
  </si>
  <si>
    <t>BR-111-026-026</t>
  </si>
  <si>
    <t>BR-111-026-027</t>
  </si>
  <si>
    <t>Bulkhead Tee/Steel</t>
  </si>
  <si>
    <t>Adapter</t>
  </si>
  <si>
    <t>BarbtoMalePipe/Straight/Al</t>
  </si>
  <si>
    <t>Bulkhead Union/Aluminum</t>
  </si>
  <si>
    <t>Differential Internal</t>
  </si>
  <si>
    <t>EN-A-0200</t>
  </si>
  <si>
    <t>EN-200-010</t>
  </si>
  <si>
    <t>EN-A-0201</t>
  </si>
  <si>
    <t>Machining Carrier</t>
  </si>
  <si>
    <t>Setup,Install and Remove</t>
  </si>
  <si>
    <t>EN-A-0205</t>
  </si>
  <si>
    <t>EN-205-015</t>
  </si>
  <si>
    <t>Pressure Regulator</t>
  </si>
  <si>
    <t>EN-A-0206</t>
  </si>
  <si>
    <t>EN-206-016</t>
  </si>
  <si>
    <t>EN-A-0207</t>
  </si>
  <si>
    <t>EN-207-017</t>
  </si>
  <si>
    <t>EN-A-0208</t>
  </si>
  <si>
    <t>EN-208-018</t>
  </si>
  <si>
    <t>EN-208-018-016</t>
  </si>
  <si>
    <t>EN-208-018-017</t>
  </si>
  <si>
    <t>EN-208-018-018</t>
  </si>
  <si>
    <t>EN-208-018-019</t>
  </si>
  <si>
    <t>EN-208-018-020</t>
  </si>
  <si>
    <t>EN-208-019</t>
  </si>
  <si>
    <t>EN-208-019-022</t>
  </si>
  <si>
    <t>EN-208-019-023</t>
  </si>
  <si>
    <t>EN-208-019-025</t>
  </si>
  <si>
    <t>Fasten Sprocket</t>
  </si>
  <si>
    <t>EN-208-019-028</t>
  </si>
  <si>
    <t>Front Hub</t>
  </si>
  <si>
    <t>WT-A-0800</t>
  </si>
  <si>
    <t>WT-800-010</t>
  </si>
  <si>
    <t>WT-800-010-01</t>
  </si>
  <si>
    <t>CNC Setup</t>
  </si>
  <si>
    <t>WT-800-010-02</t>
  </si>
  <si>
    <t>WT-800-010-07</t>
  </si>
  <si>
    <t>Rear Hub</t>
  </si>
  <si>
    <t>WT-A-0801</t>
  </si>
  <si>
    <t>WT-801-011</t>
  </si>
  <si>
    <t>WT-801-011-08</t>
  </si>
  <si>
    <t>WT-801-011-09</t>
  </si>
  <si>
    <t>Engine Sprocket</t>
  </si>
  <si>
    <t>Differential Sprocket</t>
  </si>
  <si>
    <t>EN-A-0210</t>
  </si>
  <si>
    <t>EN-210-020</t>
  </si>
  <si>
    <t>EN-201-021</t>
  </si>
  <si>
    <t>EN-201-022</t>
  </si>
  <si>
    <t>EN-200-023</t>
  </si>
  <si>
    <t>Steel,Mild</t>
  </si>
  <si>
    <t>EN-200-023-029</t>
  </si>
  <si>
    <t>EN-200-023-030</t>
  </si>
  <si>
    <t>EN-200-023-031</t>
  </si>
  <si>
    <t>EN-A-0214</t>
  </si>
  <si>
    <t>EN-214-024</t>
  </si>
  <si>
    <t>Steel,Alloy</t>
  </si>
  <si>
    <t>EN-214-024-032</t>
  </si>
  <si>
    <t>EN-214-024-033</t>
  </si>
  <si>
    <t>EN-214-024-037</t>
  </si>
  <si>
    <t>EN-214-024-038</t>
  </si>
  <si>
    <t>EN-214-024-039</t>
  </si>
  <si>
    <t>EN-A-0215</t>
  </si>
  <si>
    <t>EN-215-025</t>
  </si>
  <si>
    <t>CV Joint, Boot</t>
  </si>
  <si>
    <t>EN-215-026</t>
  </si>
  <si>
    <t>ECU</t>
  </si>
  <si>
    <t>FR-A-0300</t>
  </si>
  <si>
    <t>FR-300-010</t>
  </si>
  <si>
    <t>FR-300-011</t>
  </si>
  <si>
    <t>Linear Guide</t>
  </si>
  <si>
    <t>FR-300-012</t>
  </si>
  <si>
    <t>FR-300-013</t>
  </si>
  <si>
    <t>FR-300-014</t>
  </si>
  <si>
    <t>Hand Start</t>
  </si>
  <si>
    <t>Tilton 72-680</t>
  </si>
  <si>
    <t>Bearing</t>
  </si>
  <si>
    <t>Anti Intrusion Plate</t>
  </si>
  <si>
    <t>FR-A-0305</t>
  </si>
  <si>
    <t>FR-305-015</t>
  </si>
  <si>
    <t>FR-305-015-020</t>
  </si>
  <si>
    <t>FR-305-015-021</t>
  </si>
  <si>
    <t>ST-600-011-029</t>
  </si>
  <si>
    <t>ST-600-010-030</t>
  </si>
  <si>
    <t>Rack Housing Tube</t>
  </si>
  <si>
    <t>Copper Bushings 17x15x15</t>
  </si>
  <si>
    <t>Linear Guide Rail</t>
  </si>
  <si>
    <t>Front Bell Crank</t>
  </si>
  <si>
    <t>SU-A-0700</t>
  </si>
  <si>
    <t>SU-700-010</t>
  </si>
  <si>
    <t>SU-700-010-01</t>
  </si>
  <si>
    <t>SU-700-010-02</t>
  </si>
  <si>
    <t>Rear Bell Cranks</t>
  </si>
  <si>
    <t>SU-700-011</t>
  </si>
  <si>
    <t>SU-700-011-04</t>
  </si>
  <si>
    <t>SU-700-011-05</t>
  </si>
  <si>
    <t xml:space="preserve">Front A/Arms  </t>
  </si>
  <si>
    <t>SU-A-0702</t>
  </si>
  <si>
    <t>SU-702-012</t>
  </si>
  <si>
    <t>SU-702-012-07</t>
  </si>
  <si>
    <t xml:space="preserve">CNC Milling </t>
  </si>
  <si>
    <t>SU-702-012-08</t>
  </si>
  <si>
    <t>SU-702-014</t>
  </si>
  <si>
    <t>Etching</t>
  </si>
  <si>
    <t xml:space="preserve">With phosphoric acid </t>
  </si>
  <si>
    <t>SU-702-012-010</t>
  </si>
  <si>
    <t>Diamond saw</t>
  </si>
  <si>
    <t>With P80 Sandpaper</t>
  </si>
  <si>
    <t>Covering</t>
  </si>
  <si>
    <t xml:space="preserve">To prevent adhesive rub on </t>
  </si>
  <si>
    <t>SU-702-012-014</t>
  </si>
  <si>
    <t>SU-702-017</t>
  </si>
  <si>
    <t>SU-702-017-022</t>
  </si>
  <si>
    <t>20x1mm tubes bought</t>
  </si>
  <si>
    <t>20x1.5mm tubes bought</t>
  </si>
  <si>
    <t>SU-702-014-023</t>
  </si>
  <si>
    <t>90-0 degrees plies</t>
  </si>
  <si>
    <t>0,90,+-37 degree plies</t>
  </si>
  <si>
    <t>SU-702-017-024</t>
  </si>
  <si>
    <t>SU-702-017-025</t>
  </si>
  <si>
    <t>SU-702-017-026</t>
  </si>
  <si>
    <t>To prevent adhesive rub on</t>
  </si>
  <si>
    <t>SU-702-014-027</t>
  </si>
  <si>
    <t>SU-702-014-028</t>
  </si>
  <si>
    <t>SU-702-014-029</t>
  </si>
  <si>
    <t>Bonding</t>
  </si>
  <si>
    <t>SU-702-019</t>
  </si>
  <si>
    <t>SU-702-019-032</t>
  </si>
  <si>
    <t>SU-702-019-033</t>
  </si>
  <si>
    <t>M8</t>
  </si>
  <si>
    <t>SU-702-019-034</t>
  </si>
  <si>
    <t>SU-702-021</t>
  </si>
  <si>
    <t>SU-702-019-037</t>
  </si>
  <si>
    <t>Insert-tube-cup Bonding</t>
  </si>
  <si>
    <t>SU-702-021-039</t>
  </si>
  <si>
    <t>Acetone apply</t>
  </si>
  <si>
    <t>Surface cleaning</t>
  </si>
  <si>
    <t>SU-702-014-041</t>
  </si>
  <si>
    <t>SU-702-017-042</t>
  </si>
  <si>
    <t>Water apply</t>
  </si>
  <si>
    <t>SU-702-012-043</t>
  </si>
  <si>
    <t>SU-702-019-046</t>
  </si>
  <si>
    <t xml:space="preserve">Thermal curing </t>
  </si>
  <si>
    <t>SU-702-021-047</t>
  </si>
  <si>
    <t>Spherical Bearing install</t>
  </si>
  <si>
    <t>SU-702-021-048</t>
  </si>
  <si>
    <t>Rod end install</t>
  </si>
  <si>
    <t>SU-702-021-049</t>
  </si>
  <si>
    <t>Retaining ring install</t>
  </si>
  <si>
    <t>SU-702-021-052</t>
  </si>
  <si>
    <t>ISR Brake Pads 29-002</t>
  </si>
  <si>
    <t>ISR 22-049 (4 piston)</t>
  </si>
  <si>
    <t>26x1.2</t>
  </si>
  <si>
    <t>EN-215-030</t>
  </si>
  <si>
    <t xml:space="preserve">Renault 19 Tripod </t>
  </si>
  <si>
    <t xml:space="preserve">RCV Lightened Tripod </t>
  </si>
  <si>
    <t>EN-215-031</t>
  </si>
  <si>
    <t>WT-801-011-014</t>
  </si>
  <si>
    <t>WT-800-010-015</t>
  </si>
  <si>
    <t>WT-801-011-016</t>
  </si>
  <si>
    <t xml:space="preserve">Front Upright </t>
  </si>
  <si>
    <t>SU-A-0712</t>
  </si>
  <si>
    <t>SU-712-022</t>
  </si>
  <si>
    <t>SU-712-022-053</t>
  </si>
  <si>
    <t>CNC Machining</t>
  </si>
  <si>
    <t>SU-712-022-054</t>
  </si>
  <si>
    <t>46x1.75</t>
  </si>
  <si>
    <t>SU-712-024</t>
  </si>
  <si>
    <t>Front Upright Upper Clevis</t>
  </si>
  <si>
    <t>SU-712-022-056</t>
  </si>
  <si>
    <t>M8 12.9 Grade</t>
  </si>
  <si>
    <t>SU-712-022-057</t>
  </si>
  <si>
    <t>SU-A-0715</t>
  </si>
  <si>
    <t>SU-715-025</t>
  </si>
  <si>
    <t>SU-715-026</t>
  </si>
  <si>
    <t>Tube, rear pullrod</t>
  </si>
  <si>
    <t>SU-715-027</t>
  </si>
  <si>
    <t>SU-715-025-058</t>
  </si>
  <si>
    <t>SU-715-025-059</t>
  </si>
  <si>
    <t>SU-715-025-060</t>
  </si>
  <si>
    <t>SU-715-025-061</t>
  </si>
  <si>
    <t>SU-715-025-063</t>
  </si>
  <si>
    <t>SU-715-026-064</t>
  </si>
  <si>
    <t>SU-715-026-065</t>
  </si>
  <si>
    <t>SU-715-026-066</t>
  </si>
  <si>
    <t>SU-715-026-067</t>
  </si>
  <si>
    <t>SU-715-026-068</t>
  </si>
  <si>
    <t>M10</t>
  </si>
  <si>
    <t>SU-715-027-069</t>
  </si>
  <si>
    <t>SU-715-027-070</t>
  </si>
  <si>
    <t>SU-715-027-071</t>
  </si>
  <si>
    <t>SU-715-027-072</t>
  </si>
  <si>
    <t>SU-715-027-073</t>
  </si>
  <si>
    <t>SU-715-028</t>
  </si>
  <si>
    <t>SU-715-028-074</t>
  </si>
  <si>
    <t>SU-715-028-075</t>
  </si>
  <si>
    <t>SU-715-028-076</t>
  </si>
  <si>
    <t>Tensile Test</t>
  </si>
  <si>
    <t>SU-702-021-077</t>
  </si>
  <si>
    <t>(Up to 1.5 kN)</t>
  </si>
  <si>
    <t>Tensile test</t>
  </si>
  <si>
    <t>(Up to 2.5 kN)</t>
  </si>
  <si>
    <t>SU-715-028-078</t>
  </si>
  <si>
    <t>Front pushrod and rear pullrod assembly</t>
  </si>
  <si>
    <t>SU-A-0719</t>
  </si>
  <si>
    <t>SU-719-029</t>
  </si>
  <si>
    <t>SU-719-030</t>
  </si>
  <si>
    <t>M8 Male Joint Right Thread Rod End</t>
  </si>
  <si>
    <t xml:space="preserve">M8 Male Joint Left 
Thread Rod End </t>
  </si>
  <si>
    <t>d10</t>
  </si>
  <si>
    <t>SU-702-033</t>
  </si>
  <si>
    <t xml:space="preserve">Spherical Bearing </t>
  </si>
  <si>
    <t>19x1</t>
  </si>
  <si>
    <t>SU-702-034</t>
  </si>
  <si>
    <t>Rear Upright</t>
  </si>
  <si>
    <t>SU-A-0725</t>
  </si>
  <si>
    <t>SU-725-035</t>
  </si>
  <si>
    <t>Bewel Gear</t>
  </si>
  <si>
    <t>ST-A-0613</t>
  </si>
  <si>
    <t xml:space="preserve">60 degrees bewel gear </t>
  </si>
  <si>
    <t>Shaft I</t>
  </si>
  <si>
    <t>ST-613-024</t>
  </si>
  <si>
    <t>Shaft II</t>
  </si>
  <si>
    <t>ST-613-025</t>
  </si>
  <si>
    <t>Bewel gear</t>
  </si>
  <si>
    <t>ST-613-026</t>
  </si>
  <si>
    <t>ST-613-027</t>
  </si>
  <si>
    <t>Bewel gear housing
(Part I)</t>
  </si>
  <si>
    <t>ST-613-028</t>
  </si>
  <si>
    <t>Metal ball</t>
  </si>
  <si>
    <t>ST-613-029</t>
  </si>
  <si>
    <t>ST-613-030</t>
  </si>
  <si>
    <t>Nut, M10</t>
  </si>
  <si>
    <t>ST-613-031</t>
  </si>
  <si>
    <t>Large Bearing</t>
  </si>
  <si>
    <t>ST-613-032</t>
  </si>
  <si>
    <t>Bearing, narrow</t>
  </si>
  <si>
    <t>ST-613-033</t>
  </si>
  <si>
    <t>D/W R10-2RS Deep groove 
ball bearings</t>
  </si>
  <si>
    <t>D/W R8-2RS Deep groove 
ball bearings</t>
  </si>
  <si>
    <t>ST-A-0624</t>
  </si>
  <si>
    <t>ST-624-034</t>
  </si>
  <si>
    <t>ST-624-034-033</t>
  </si>
  <si>
    <t>D3</t>
  </si>
  <si>
    <t>ST-624-034-034</t>
  </si>
  <si>
    <t>ST-624-035</t>
  </si>
  <si>
    <t xml:space="preserve">Universal Joint, Double, 
B=12mm, L=86mm </t>
  </si>
  <si>
    <t>D6.5 Hole</t>
  </si>
  <si>
    <t>Quick Release</t>
  </si>
  <si>
    <t>Sparco quick release</t>
  </si>
  <si>
    <t>ST-A-0626</t>
  </si>
  <si>
    <t>ST-626-036</t>
  </si>
  <si>
    <t>Adjustment screw</t>
  </si>
  <si>
    <t>ST-600-013-035</t>
  </si>
  <si>
    <t>Adjustment nut</t>
  </si>
  <si>
    <t>ST-600-013-036</t>
  </si>
  <si>
    <t>20x1.5 tube bought</t>
  </si>
  <si>
    <t>ST-600-014-037</t>
  </si>
  <si>
    <t>ST-600-014-038</t>
  </si>
  <si>
    <t>ST-600-014-039</t>
  </si>
  <si>
    <t>ST-600-013-040</t>
  </si>
  <si>
    <t>ST-600-013-041</t>
  </si>
  <si>
    <t>ST-600-013-042</t>
  </si>
  <si>
    <t>ST-600-014-043</t>
  </si>
  <si>
    <t>D4</t>
  </si>
  <si>
    <t>ST-600-014-044</t>
  </si>
  <si>
    <t>ST-600-014-045</t>
  </si>
  <si>
    <t>ST-600-014-046</t>
  </si>
  <si>
    <t>MS-A-0500</t>
  </si>
  <si>
    <t>MS-500-010</t>
  </si>
  <si>
    <t>MS-500-011</t>
  </si>
  <si>
    <t>Fire wall (Part I)</t>
  </si>
  <si>
    <t>Fire wall(Part II)</t>
  </si>
  <si>
    <t>MS-500-010-01</t>
  </si>
  <si>
    <t>MS-500-010-02</t>
  </si>
  <si>
    <t>Bending</t>
  </si>
  <si>
    <t>MS-500-010-03</t>
  </si>
  <si>
    <t>MS-500-011-04</t>
  </si>
  <si>
    <t>Aluminum sheet- 3003 Alloy</t>
  </si>
  <si>
    <t>MS-500-011-05</t>
  </si>
  <si>
    <t>MS-500-011-06</t>
  </si>
  <si>
    <t>TIG Welding
(Part I- Part II assembly)</t>
  </si>
  <si>
    <t>OMP 802F</t>
  </si>
  <si>
    <t>MS-A-0502</t>
  </si>
  <si>
    <t>MS-502-012</t>
  </si>
  <si>
    <t>Linear Guide 
Mounting</t>
  </si>
  <si>
    <t>Tire</t>
  </si>
  <si>
    <t>WT-A-0802</t>
  </si>
  <si>
    <t>WT-802-012</t>
  </si>
  <si>
    <t>WT-A-0803</t>
  </si>
  <si>
    <t>WT-803-013</t>
  </si>
  <si>
    <t>Electronic Actuator</t>
  </si>
  <si>
    <t>FR-A-0307</t>
  </si>
  <si>
    <t>FR-307-017</t>
  </si>
  <si>
    <t>Flat Shifter Max, Electric Solenoid Gear Shift System</t>
  </si>
  <si>
    <t>Paddle shift</t>
  </si>
  <si>
    <t>FR-307-018</t>
  </si>
  <si>
    <t>Flat carbon fiber floor pan</t>
  </si>
  <si>
    <t>FR-A-0309</t>
  </si>
  <si>
    <t>FR-309-019</t>
  </si>
  <si>
    <t>FR-309-019-025</t>
  </si>
  <si>
    <t>Front bearing</t>
  </si>
  <si>
    <t>WT-A-0804</t>
  </si>
  <si>
    <t>WT-804-014</t>
  </si>
  <si>
    <t>Rear Bearing</t>
  </si>
  <si>
    <t>WT-804-015</t>
  </si>
  <si>
    <t>Seat</t>
  </si>
  <si>
    <t>MS-A-0503</t>
  </si>
  <si>
    <t>MS-503-013</t>
  </si>
  <si>
    <t>Seat mounting</t>
  </si>
  <si>
    <t>MS-A-0504</t>
  </si>
  <si>
    <t>MS-504-014</t>
  </si>
  <si>
    <t>Seat bracket</t>
  </si>
  <si>
    <t>MS-504-014-07</t>
  </si>
  <si>
    <t>MS-504-014-08</t>
  </si>
  <si>
    <t>Tillett w1i, carbon fiber/grp 
racing seat</t>
  </si>
  <si>
    <t>Steering Rack Bracket</t>
  </si>
  <si>
    <t>ST-A-0628</t>
  </si>
  <si>
    <t>ST-628-038</t>
  </si>
  <si>
    <t>Steering Rack 
Housing Bracket</t>
  </si>
  <si>
    <t>ST-628-038-047</t>
  </si>
  <si>
    <t>CNC machining</t>
  </si>
  <si>
    <t>ST-628-038-048</t>
  </si>
  <si>
    <t>FR-300-014-028</t>
  </si>
  <si>
    <t>FR-300-014-029</t>
  </si>
  <si>
    <t>FR-A-0312</t>
  </si>
  <si>
    <t>FR-312-022</t>
  </si>
  <si>
    <t>Chassis tubes</t>
  </si>
  <si>
    <t>FR-A-0313</t>
  </si>
  <si>
    <t>FR-313-023</t>
  </si>
  <si>
    <t>FR-312-024</t>
  </si>
  <si>
    <t>Front suspension mounting profile</t>
  </si>
  <si>
    <t>FR-312-025</t>
  </si>
  <si>
    <t>ST-A-0629</t>
  </si>
  <si>
    <t>ST-629-039</t>
  </si>
  <si>
    <t>ST-629-039-049</t>
  </si>
  <si>
    <t>ST-629-039-050</t>
  </si>
  <si>
    <t>ST-629-039-051</t>
  </si>
  <si>
    <t>ST-A-0630</t>
  </si>
  <si>
    <t>ST-624-041</t>
  </si>
  <si>
    <t>EN-214-024-040</t>
  </si>
  <si>
    <t xml:space="preserve">Setup and Install </t>
  </si>
  <si>
    <t>EN-A-0223</t>
  </si>
  <si>
    <t>EN-223-033</t>
  </si>
  <si>
    <t>EN-223-034</t>
  </si>
  <si>
    <t>EN-223-033-041</t>
  </si>
  <si>
    <t>Rubber hose bought</t>
  </si>
  <si>
    <t>Coolant Hose</t>
  </si>
  <si>
    <t>EN-223-033-042</t>
  </si>
  <si>
    <t>EN-223-034-043</t>
  </si>
  <si>
    <t>EN-223-034-044</t>
  </si>
  <si>
    <t>Inlet d=28mm</t>
  </si>
  <si>
    <t>Fuel injector</t>
  </si>
  <si>
    <t>EN-A-0225</t>
  </si>
  <si>
    <t>EN-225-035</t>
  </si>
  <si>
    <t>Fuel tank box</t>
  </si>
  <si>
    <t>EN-A-0226</t>
  </si>
  <si>
    <t>EN-226-036</t>
  </si>
  <si>
    <t>Check valve</t>
  </si>
  <si>
    <t>EN-A-0227</t>
  </si>
  <si>
    <t>EN-227-037</t>
  </si>
  <si>
    <t>EN-A-0228</t>
  </si>
  <si>
    <t>EN-228-038</t>
  </si>
  <si>
    <t>Filling pipe</t>
  </si>
  <si>
    <t>Fuel tank filling pipe</t>
  </si>
  <si>
    <t>EN-226-039</t>
  </si>
  <si>
    <t>Fuel filler cap</t>
  </si>
  <si>
    <t>EN-226-040</t>
  </si>
  <si>
    <t>Venting hose</t>
  </si>
  <si>
    <t>EN-226-041</t>
  </si>
  <si>
    <t>EN-226-042</t>
  </si>
  <si>
    <t xml:space="preserve">Bleeder screw </t>
  </si>
  <si>
    <t>EN-226-043</t>
  </si>
  <si>
    <t>EN-226-044</t>
  </si>
  <si>
    <t>Bleeder screw 
housing</t>
  </si>
  <si>
    <t>Check valve male threaded 
housing</t>
  </si>
  <si>
    <t>Bleeder screw female threaded housing</t>
  </si>
  <si>
    <t>Fuel pump bolt housing</t>
  </si>
  <si>
    <t>EN-226-045</t>
  </si>
  <si>
    <t>EN-205-046</t>
  </si>
  <si>
    <t>Fuel pump 
pressure plate</t>
  </si>
  <si>
    <t>Deep Groove Ball Bearing 
SKF 6211-2RS1</t>
  </si>
  <si>
    <t>Left Bearing</t>
  </si>
  <si>
    <t>Right Bearing</t>
  </si>
  <si>
    <t>Deep Groove Ball Bearing
SKF 61910-2RS1</t>
  </si>
  <si>
    <t>EN-226-036-045</t>
  </si>
  <si>
    <t>EN-226-036-046</t>
  </si>
  <si>
    <t>EN-226-036-047</t>
  </si>
  <si>
    <t>EN-226-039-049</t>
  </si>
  <si>
    <t>6061 T6 Aluminum</t>
  </si>
  <si>
    <t>EN-226-039-050</t>
  </si>
  <si>
    <t>EN-226-039-051</t>
  </si>
  <si>
    <t>EN-226-039-052</t>
  </si>
  <si>
    <t>EN-226-040-053</t>
  </si>
  <si>
    <t>EN-226-040-054</t>
  </si>
  <si>
    <t>EN-226-040-055</t>
  </si>
  <si>
    <t>EN-226-041-056</t>
  </si>
  <si>
    <t>EN-226-041-057</t>
  </si>
  <si>
    <t>SU-702-036</t>
  </si>
  <si>
    <t>Bearing cup, 
Lower A arm</t>
  </si>
  <si>
    <t>SU-702-036-079</t>
  </si>
  <si>
    <t>SU-702-036-080</t>
  </si>
  <si>
    <t>SU-702-036-081</t>
  </si>
  <si>
    <t>SU-702-036-082</t>
  </si>
  <si>
    <t>SU-702-036-083</t>
  </si>
  <si>
    <t>Surface Cleaning</t>
  </si>
  <si>
    <t>Engine oil</t>
  </si>
  <si>
    <t>EN-A-0237</t>
  </si>
  <si>
    <t>EN-237-047</t>
  </si>
  <si>
    <t>EN-A-0238</t>
  </si>
  <si>
    <t>EN-238-048</t>
  </si>
  <si>
    <t>EN-238-049</t>
  </si>
  <si>
    <t>Differential mount 
left</t>
  </si>
  <si>
    <t>Differential mount 
right</t>
  </si>
  <si>
    <t>EN-238-048-058</t>
  </si>
  <si>
    <t>EN-238-048-059</t>
  </si>
  <si>
    <t>Honda CBR 600 RR 205cc 
fuel injectors</t>
  </si>
  <si>
    <t>Check valve 
housing</t>
  </si>
  <si>
    <t>EN-238-049-060</t>
  </si>
  <si>
    <t>EN-238-049-061</t>
  </si>
  <si>
    <t>EN-A-0240</t>
  </si>
  <si>
    <t>EN-240-050</t>
  </si>
  <si>
    <t>Radiator fan</t>
  </si>
  <si>
    <t>EN-A-0242</t>
  </si>
  <si>
    <t>EN-242-052</t>
  </si>
  <si>
    <t>Radiator fan shield</t>
  </si>
  <si>
    <t>EN-226-042-066</t>
  </si>
  <si>
    <t>EN-226-042-067</t>
  </si>
  <si>
    <t>EN-226-042-068</t>
  </si>
  <si>
    <t>Teflon band</t>
  </si>
  <si>
    <t>EN-226-042-069</t>
  </si>
  <si>
    <t>1/8'' steel pneumatic check 
valve female-female</t>
  </si>
  <si>
    <t>EN-226-041-070</t>
  </si>
  <si>
    <t>EN-226-041-071</t>
  </si>
  <si>
    <t>EN-226-039-072</t>
  </si>
  <si>
    <t>EN-226-042-073</t>
  </si>
  <si>
    <t>EN-226-045-074</t>
  </si>
  <si>
    <t>EN-226-045-075</t>
  </si>
  <si>
    <t>EN-226-045-076</t>
  </si>
  <si>
    <t>M6x15</t>
  </si>
  <si>
    <t>EN-226-045-077</t>
  </si>
  <si>
    <t>EN-226-044-078</t>
  </si>
  <si>
    <t>EN-226-044-079</t>
  </si>
  <si>
    <t>EN-226-044-080</t>
  </si>
  <si>
    <t>EN-226-045-081</t>
  </si>
  <si>
    <t>EN-226-044-082</t>
  </si>
  <si>
    <t>Motul 15w-50 300V 
COMPETITION</t>
  </si>
  <si>
    <t>EN-A-0245</t>
  </si>
  <si>
    <t>EN-245-055</t>
  </si>
  <si>
    <t>ABS Plastic</t>
  </si>
  <si>
    <t>EN-245-055-083</t>
  </si>
  <si>
    <t>EN-245-055-084</t>
  </si>
  <si>
    <t>EN-A-0246</t>
  </si>
  <si>
    <t>EN-246-056</t>
  </si>
  <si>
    <t>EN-246-056-085</t>
  </si>
  <si>
    <t>EN-246-056-086</t>
  </si>
  <si>
    <t>SU-702-037</t>
  </si>
  <si>
    <t>Front tube, Lower A arm</t>
  </si>
  <si>
    <t>SU-702-037-085</t>
  </si>
  <si>
    <t>SU-702-037-086</t>
  </si>
  <si>
    <t>SU-702-037-087</t>
  </si>
  <si>
    <t>SU-702-037-088</t>
  </si>
  <si>
    <t>SU-702-037-089</t>
  </si>
  <si>
    <t>Rear tube, Lower A arm</t>
  </si>
  <si>
    <t>SU-702-038</t>
  </si>
  <si>
    <t>SU-702-038-090</t>
  </si>
  <si>
    <t>SU-702-038-091</t>
  </si>
  <si>
    <t>SU-702-038-092</t>
  </si>
  <si>
    <t>SU-702-038-093</t>
  </si>
  <si>
    <t>SU-702-038-094</t>
  </si>
  <si>
    <t>Insert, Lower A arm</t>
  </si>
  <si>
    <t>SU-702-039</t>
  </si>
  <si>
    <t>SU-702-039-095</t>
  </si>
  <si>
    <t>SU-702-039-096</t>
  </si>
  <si>
    <t>SU-702-039-097</t>
  </si>
  <si>
    <t>SU-702-039-098</t>
  </si>
  <si>
    <t>SU-702-039-099</t>
  </si>
  <si>
    <t>Assembling, Front Lower A arm</t>
  </si>
  <si>
    <t>SU-702-040</t>
  </si>
  <si>
    <t>SU-702-040-0101</t>
  </si>
  <si>
    <t>SU-702-040-0102</t>
  </si>
  <si>
    <t>SU-702-040-0103</t>
  </si>
  <si>
    <t>SU-702-040-0104</t>
  </si>
  <si>
    <t>SU-702-040-0105</t>
  </si>
  <si>
    <t>SU-702-040-0106</t>
  </si>
  <si>
    <t>EN-A-0247</t>
  </si>
  <si>
    <t>EN-247-057</t>
  </si>
  <si>
    <t>FR-313-023-031</t>
  </si>
  <si>
    <t>Cut (manual)</t>
  </si>
  <si>
    <t>Frame tubes I</t>
  </si>
  <si>
    <t>FR-305-026</t>
  </si>
  <si>
    <t>Frame tubes II</t>
  </si>
  <si>
    <t>FR-305-027</t>
  </si>
  <si>
    <t>ISR 22-048 (2 piston)</t>
  </si>
  <si>
    <t>Frame tubes III</t>
  </si>
  <si>
    <t>FR-305-029</t>
  </si>
  <si>
    <t>Differential housing tab</t>
  </si>
  <si>
    <t>FR-312-030</t>
  </si>
  <si>
    <t>Fuel tank tab</t>
  </si>
  <si>
    <t>FR-312-031</t>
  </si>
  <si>
    <t>Battery mounting tab</t>
  </si>
  <si>
    <t>FR-312-032</t>
  </si>
  <si>
    <t>Seat bracket tab</t>
  </si>
  <si>
    <t>FR-312-033</t>
  </si>
  <si>
    <t>Fire wall tab</t>
  </si>
  <si>
    <t>FR-312-034</t>
  </si>
  <si>
    <t>Suspension arm tabs</t>
  </si>
  <si>
    <t>FR-312-035</t>
  </si>
  <si>
    <t>FR-312-036</t>
  </si>
  <si>
    <t>Bell crank tab</t>
  </si>
  <si>
    <t>Damper tab</t>
  </si>
  <si>
    <t>FR-312-037</t>
  </si>
  <si>
    <t>Muffler mounting tab</t>
  </si>
  <si>
    <t>FR-312-039</t>
  </si>
  <si>
    <t>Bearing cup, Front upper A
arm</t>
  </si>
  <si>
    <t>Front tube, Front upper A arm</t>
  </si>
  <si>
    <t>Rear tube, Front upper A arm</t>
  </si>
  <si>
    <t>Insert, Front upper A arm</t>
  </si>
  <si>
    <t>Assembling, Front upper A arm</t>
  </si>
  <si>
    <t>SU-A-0731</t>
  </si>
  <si>
    <t>SU-731-041</t>
  </si>
  <si>
    <t>SU-731-041-0107</t>
  </si>
  <si>
    <t>SU-731-041-0108</t>
  </si>
  <si>
    <t>SU-731-041-0109</t>
  </si>
  <si>
    <t>SU-731-041-0110</t>
  </si>
  <si>
    <t>SU-731-041-0112</t>
  </si>
  <si>
    <t>SU-731-042</t>
  </si>
  <si>
    <t>Front tube, Rear upper A arm</t>
  </si>
  <si>
    <t>SU-731-042-0113</t>
  </si>
  <si>
    <t>SU-731-042-0114</t>
  </si>
  <si>
    <t>SU-731-042-0115</t>
  </si>
  <si>
    <t>SU-731-042-0116</t>
  </si>
  <si>
    <t>SU-731-042-0117</t>
  </si>
  <si>
    <t>Rear tube, Rear upper A arm</t>
  </si>
  <si>
    <t>SU-731-043</t>
  </si>
  <si>
    <t>SU-731-043-0118</t>
  </si>
  <si>
    <t>SU-731-043-0119</t>
  </si>
  <si>
    <t>SU-731-043-0120</t>
  </si>
  <si>
    <t>SU-731-043-0121</t>
  </si>
  <si>
    <t>SU-731-043-0122</t>
  </si>
  <si>
    <t>Insert, Rear upper A arm</t>
  </si>
  <si>
    <t>SU-731-044</t>
  </si>
  <si>
    <t>SU-731-044-0123</t>
  </si>
  <si>
    <t>SU-731-044-0124</t>
  </si>
  <si>
    <t>SU-731-044-0125</t>
  </si>
  <si>
    <t>With phosphoric acid</t>
  </si>
  <si>
    <t>SU-731-044-0126</t>
  </si>
  <si>
    <t>SU-731-044-0128</t>
  </si>
  <si>
    <t>Assembling, Rear upper A arm</t>
  </si>
  <si>
    <t>SU-731-045</t>
  </si>
  <si>
    <t>SU-731-045-0129</t>
  </si>
  <si>
    <t>Thermal curing</t>
  </si>
  <si>
    <t>SU-731-045-0130</t>
  </si>
  <si>
    <t>SU-731-045-0131</t>
  </si>
  <si>
    <t>SU-731-045-0132</t>
  </si>
  <si>
    <t>SU-731-045-0133</t>
  </si>
  <si>
    <t>SU-731-045-0134</t>
  </si>
  <si>
    <t>SU-731-046</t>
  </si>
  <si>
    <t>Spherical bearing</t>
  </si>
  <si>
    <t>SU-731-047</t>
  </si>
  <si>
    <t>Bearing cup,Lower A arm</t>
  </si>
  <si>
    <t>SU-731-048</t>
  </si>
  <si>
    <t>SU-731-048-0135</t>
  </si>
  <si>
    <t>SU-731-048-0136</t>
  </si>
  <si>
    <t>SU-731-048-0137</t>
  </si>
  <si>
    <t>SU-731-048-0138</t>
  </si>
  <si>
    <t>SU-731-048-0140</t>
  </si>
  <si>
    <t>SU-731-049</t>
  </si>
  <si>
    <t>SU-731-049-0141</t>
  </si>
  <si>
    <t>SU-731-049-0142</t>
  </si>
  <si>
    <t>SU-731-049-0143</t>
  </si>
  <si>
    <t>SU-731-049-0144</t>
  </si>
  <si>
    <t>SU-731-049-0145</t>
  </si>
  <si>
    <t>SU-731-050</t>
  </si>
  <si>
    <t>SU-731-050-0146</t>
  </si>
  <si>
    <t>SU-731-050-0147</t>
  </si>
  <si>
    <t>SU-731-050-0148</t>
  </si>
  <si>
    <t>SU-731-050-0149</t>
  </si>
  <si>
    <t>SU-731-050-0150</t>
  </si>
  <si>
    <t>SU-731-051</t>
  </si>
  <si>
    <t>SU-731-051-0151</t>
  </si>
  <si>
    <t>SU-731-051-0152</t>
  </si>
  <si>
    <t>SU-731-051-0153</t>
  </si>
  <si>
    <t>SU-731-051-0154</t>
  </si>
  <si>
    <t>SU-731-051-0156</t>
  </si>
  <si>
    <t>Assembling, Rear Lower A arm</t>
  </si>
  <si>
    <t>SU-731-052</t>
  </si>
  <si>
    <t>SU-731-052-0157</t>
  </si>
  <si>
    <t>SU-731-052-0158</t>
  </si>
  <si>
    <t>SU-731-052-0159</t>
  </si>
  <si>
    <t>SU-731-052-0160</t>
  </si>
  <si>
    <t>Rod and install</t>
  </si>
  <si>
    <t>SU-731-052-0161</t>
  </si>
  <si>
    <t>SU-731-052-0162</t>
  </si>
  <si>
    <t>Bearing cup, Rear upper A
arm</t>
  </si>
  <si>
    <t>ST-630-042</t>
  </si>
  <si>
    <t>ST-630-042-053</t>
  </si>
  <si>
    <t>ST-630-042-054</t>
  </si>
  <si>
    <t>M6</t>
  </si>
  <si>
    <t>ST-630-042-055</t>
  </si>
  <si>
    <t>With Phosphoric Acid</t>
  </si>
  <si>
    <t>ST-630-042-056</t>
  </si>
  <si>
    <t>Water Apply</t>
  </si>
  <si>
    <t>ST-630-042-057</t>
  </si>
  <si>
    <t>Acetone Apply</t>
  </si>
  <si>
    <t>ST-630-042-058</t>
  </si>
  <si>
    <t>Tube, Tie Rod</t>
  </si>
  <si>
    <t>ST-630-043</t>
  </si>
  <si>
    <t>ST-630-043-059</t>
  </si>
  <si>
    <t>Diamond Saw</t>
  </si>
  <si>
    <t>ST-630-043-060</t>
  </si>
  <si>
    <t>ST-630-043-061</t>
  </si>
  <si>
    <t>To Prevent Adhesive rub on</t>
  </si>
  <si>
    <t>ST-630-043-062</t>
  </si>
  <si>
    <t>ST-630-043-063</t>
  </si>
  <si>
    <t>Assembly, Tie Rod</t>
  </si>
  <si>
    <t>ST-630-044</t>
  </si>
  <si>
    <t>Insert-Tie Rod Tube Bonding</t>
  </si>
  <si>
    <t>ST-630-044-064</t>
  </si>
  <si>
    <t>Thermal Curing</t>
  </si>
  <si>
    <t>ST-630-044-065</t>
  </si>
  <si>
    <t>ST-630-044-066</t>
  </si>
  <si>
    <t xml:space="preserve">(Up to 2.5 kN) </t>
  </si>
  <si>
    <t>ST-630-044-067</t>
  </si>
  <si>
    <t>SU-725-035-0163</t>
  </si>
  <si>
    <t>SU-725-035-0164</t>
  </si>
  <si>
    <t>Rear Upright Upper Clevis</t>
  </si>
  <si>
    <t>SU-725-035-0166</t>
  </si>
  <si>
    <t>SU-725-035-0167</t>
  </si>
  <si>
    <t>EN-226-058</t>
  </si>
  <si>
    <t>EN-226-058-087</t>
  </si>
  <si>
    <t>EN-226-058-088</t>
  </si>
  <si>
    <t>EN-226-058-089</t>
  </si>
  <si>
    <t>Sight pipe</t>
  </si>
  <si>
    <t>EN-226-059</t>
  </si>
  <si>
    <t>EN-226-059-090</t>
  </si>
  <si>
    <t>EN-226-059-091</t>
  </si>
  <si>
    <t>EN-226-059-092</t>
  </si>
  <si>
    <t>FR-A-0330</t>
  </si>
  <si>
    <t>FR-330-040</t>
  </si>
  <si>
    <t>FR-330-040-033</t>
  </si>
  <si>
    <t>Chassis tube cuts</t>
  </si>
  <si>
    <t>Tube bend</t>
  </si>
  <si>
    <t>FR-330-041</t>
  </si>
  <si>
    <t>FR-330-041-034</t>
  </si>
  <si>
    <t>FR-309-042</t>
  </si>
  <si>
    <t>FR-309-042-035</t>
  </si>
  <si>
    <t>Quick shifter tab</t>
  </si>
  <si>
    <t>FR-312-043</t>
  </si>
  <si>
    <t>Dashboard tab</t>
  </si>
  <si>
    <t>FR-312-044</t>
  </si>
  <si>
    <t>Engine Mounting 
tube</t>
  </si>
  <si>
    <t>Body plate tabs</t>
  </si>
  <si>
    <t>FR-A-0335</t>
  </si>
  <si>
    <t>FR-335-045</t>
  </si>
  <si>
    <t>Body nose tabs</t>
  </si>
  <si>
    <t>FR-335-047</t>
  </si>
  <si>
    <t>FR-312-022-036</t>
  </si>
  <si>
    <t>FR-A-0339</t>
  </si>
  <si>
    <t>FR-339-049</t>
  </si>
  <si>
    <t>FR-339-049-037</t>
  </si>
  <si>
    <t>FR-339-049-038</t>
  </si>
  <si>
    <t>FR-339-050</t>
  </si>
  <si>
    <t xml:space="preserve">Rod end </t>
  </si>
  <si>
    <t>M6 female right hand rod end</t>
  </si>
  <si>
    <t>FR-339-051</t>
  </si>
  <si>
    <t>Needle roller bearing</t>
  </si>
  <si>
    <t>FR-339-052</t>
  </si>
  <si>
    <t>FR-339-050-039</t>
  </si>
  <si>
    <t>FR-339-050-040</t>
  </si>
  <si>
    <t>FR-335-053</t>
  </si>
  <si>
    <t>Floor pan tabs</t>
  </si>
  <si>
    <t>FR-335-054</t>
  </si>
  <si>
    <t>Catchcan tab</t>
  </si>
  <si>
    <t>FR-312-055</t>
  </si>
  <si>
    <t>Electronic box tab</t>
  </si>
  <si>
    <t>FR-312-056</t>
  </si>
  <si>
    <t>FR-312-030-041</t>
  </si>
  <si>
    <t>AISI 1020 5mm</t>
  </si>
  <si>
    <t>FR-312-030-042</t>
  </si>
  <si>
    <t>FR-312-030-043</t>
  </si>
  <si>
    <t>T</t>
  </si>
  <si>
    <t>FR-312-030-044</t>
  </si>
  <si>
    <t>FR-312-031-045</t>
  </si>
  <si>
    <t>FR-312-031-046</t>
  </si>
  <si>
    <t>FR-312-031-047</t>
  </si>
  <si>
    <t>FR-312-032-048</t>
  </si>
  <si>
    <t>AISI 1020 1.5mm</t>
  </si>
  <si>
    <t>FR-312-032-049</t>
  </si>
  <si>
    <t>FR-312-032-050</t>
  </si>
  <si>
    <t>FR-312-033-051</t>
  </si>
  <si>
    <t>FR-312-033-052</t>
  </si>
  <si>
    <t>FR-312-033-053</t>
  </si>
  <si>
    <t>FR-312-033-054</t>
  </si>
  <si>
    <t>FR-312-034-055</t>
  </si>
  <si>
    <t>AISI 1020 1mm</t>
  </si>
  <si>
    <t>FR-312-034-056</t>
  </si>
  <si>
    <t>FR-312-034-057</t>
  </si>
  <si>
    <t>FR-312-035-058</t>
  </si>
  <si>
    <t>FR-312-035-059</t>
  </si>
  <si>
    <t>FR-312-035-060</t>
  </si>
  <si>
    <t>FR-312-035-061</t>
  </si>
  <si>
    <t>FR-312-036-062</t>
  </si>
  <si>
    <t>FR-312-036-063</t>
  </si>
  <si>
    <t>FR-312-036-064</t>
  </si>
  <si>
    <t>FR-312-036-065</t>
  </si>
  <si>
    <t>FR-312-037-066</t>
  </si>
  <si>
    <t>FR-312-037-067</t>
  </si>
  <si>
    <t>FR-312-037-068</t>
  </si>
  <si>
    <t>FR-312-037-069</t>
  </si>
  <si>
    <t>FR-312-043-070</t>
  </si>
  <si>
    <t>AISI 1020 3mm</t>
  </si>
  <si>
    <t>FR-312-043-071</t>
  </si>
  <si>
    <t>FR-312-043-072</t>
  </si>
  <si>
    <t>FR-312-044-073</t>
  </si>
  <si>
    <t>FR-312-044-074</t>
  </si>
  <si>
    <t>FR-312-044-075</t>
  </si>
  <si>
    <t>FR-312-055-076</t>
  </si>
  <si>
    <t>FR-312-055-077</t>
  </si>
  <si>
    <t>FR-312-055-078</t>
  </si>
  <si>
    <t>FR-335-045-079</t>
  </si>
  <si>
    <t>FR-335-045-080</t>
  </si>
  <si>
    <t>FR-335-045-081</t>
  </si>
  <si>
    <t>FR-335-053-085</t>
  </si>
  <si>
    <t>FR-335-053-086</t>
  </si>
  <si>
    <t>FR-335-053-087</t>
  </si>
  <si>
    <t>FR-335-054-088</t>
  </si>
  <si>
    <t>FR-335-054-089</t>
  </si>
  <si>
    <t>FR-335-054-090</t>
  </si>
  <si>
    <t>FR-335-047-091</t>
  </si>
  <si>
    <t>FR-335-047-092</t>
  </si>
  <si>
    <t>FR-335-047-093</t>
  </si>
  <si>
    <t>FR-312-039-094</t>
  </si>
  <si>
    <t>FR-312-039-095</t>
  </si>
  <si>
    <t>FR-312-039-096</t>
  </si>
  <si>
    <t>FR-312-056-097</t>
  </si>
  <si>
    <t>FR-312-056-098</t>
  </si>
  <si>
    <t>FR-312-056-099</t>
  </si>
  <si>
    <t>Water Cut</t>
  </si>
  <si>
    <t>Assemble to front hub</t>
  </si>
  <si>
    <t>BR-100-010-028</t>
  </si>
  <si>
    <t>BR-100-011-029</t>
  </si>
  <si>
    <t>M10x15</t>
  </si>
  <si>
    <t>BR-100-010-030</t>
  </si>
  <si>
    <t>BR-114-038</t>
  </si>
  <si>
    <t>Brake Master 
Cylinder</t>
  </si>
  <si>
    <t>Tilton Model 75 master 
cylinder</t>
  </si>
  <si>
    <t>Differential Short 
Shafts</t>
  </si>
  <si>
    <t>Honda CBR 600 RR chain</t>
  </si>
  <si>
    <t>Angle grinding</t>
  </si>
  <si>
    <t>EN-210-020-093</t>
  </si>
  <si>
    <t>Assemble to nuckle</t>
  </si>
  <si>
    <t>SU-702-014-0171</t>
  </si>
  <si>
    <t>SU-702-017-0173</t>
  </si>
  <si>
    <t>SU-702-012-0178</t>
  </si>
  <si>
    <t>SU-702-019-0180</t>
  </si>
  <si>
    <t>Assemble to rod end</t>
  </si>
  <si>
    <t>SU-702-036-0182</t>
  </si>
  <si>
    <t>SU-702-037-0184</t>
  </si>
  <si>
    <t>SU-702-038-0185</t>
  </si>
  <si>
    <t>SU-702-039-0186</t>
  </si>
  <si>
    <t>SU-702-019-0187</t>
  </si>
  <si>
    <t>SU-702-039-0188</t>
  </si>
  <si>
    <t>BR-100-011-031</t>
  </si>
  <si>
    <t>Assembling Brake Pads</t>
  </si>
  <si>
    <t>BR-105-039</t>
  </si>
  <si>
    <t>BR-105-039-032</t>
  </si>
  <si>
    <t>Assembling Calipers</t>
  </si>
  <si>
    <t>BR-106-040</t>
  </si>
  <si>
    <t>BR-106-040-033</t>
  </si>
  <si>
    <t>&lt;25.4 mm</t>
  </si>
  <si>
    <t>BR-106-041</t>
  </si>
  <si>
    <t>Brake Bleed</t>
  </si>
  <si>
    <t>BR-102-042</t>
  </si>
  <si>
    <t>BR-102-042-034</t>
  </si>
  <si>
    <t>Process</t>
  </si>
  <si>
    <t>BR-114-045</t>
  </si>
  <si>
    <t>BR-114-045-036</t>
  </si>
  <si>
    <t xml:space="preserve">Per Bleed Valve </t>
  </si>
  <si>
    <t>Pedal Mounting Plate</t>
  </si>
  <si>
    <t>FR-300-011-0103</t>
  </si>
  <si>
    <t>FR-300-011-0104</t>
  </si>
  <si>
    <t>FR-300-011-0105</t>
  </si>
  <si>
    <t>FR-300-011-0106</t>
  </si>
  <si>
    <t>Power Screw</t>
  </si>
  <si>
    <t>FR-300-057</t>
  </si>
  <si>
    <t>FR-300-058</t>
  </si>
  <si>
    <t>Power Screw 
Mounting</t>
  </si>
  <si>
    <t>Electric Motor</t>
  </si>
  <si>
    <t>12V DC</t>
  </si>
  <si>
    <t>FR-300-059</t>
  </si>
  <si>
    <t>Power Screw Nut</t>
  </si>
  <si>
    <t>FR-300-060</t>
  </si>
  <si>
    <t>Accelerator Potantiometer Linkage 2</t>
  </si>
  <si>
    <t>Brake Pedal Potantiometer Linkage 1</t>
  </si>
  <si>
    <t>FR-300-063</t>
  </si>
  <si>
    <t>FR-300-063-0114</t>
  </si>
  <si>
    <t>FR-300-063-0115</t>
  </si>
  <si>
    <t>FR-300-063-0116</t>
  </si>
  <si>
    <t>Brake Pedal Potantiometer Linkage 2</t>
  </si>
  <si>
    <t>FR-300-064</t>
  </si>
  <si>
    <t>FR-300-064-0117</t>
  </si>
  <si>
    <t>FR-300-064-0118</t>
  </si>
  <si>
    <t>FR-300-064-0119</t>
  </si>
  <si>
    <t>Needle Roller Bearing K4x7x7TN</t>
  </si>
  <si>
    <t>FR-300-065</t>
  </si>
  <si>
    <t>To Bearing (K4x7x7TN)</t>
  </si>
  <si>
    <t>FR-300-063-0121</t>
  </si>
  <si>
    <t>FR-300-064-0123</t>
  </si>
  <si>
    <t>FR-312-024-0124</t>
  </si>
  <si>
    <t>FR-312-022-0125</t>
  </si>
  <si>
    <t>FR-312-022-0126</t>
  </si>
  <si>
    <t>Threaded rod, 
M10</t>
  </si>
  <si>
    <t>ST-624-034-068</t>
  </si>
  <si>
    <t>ST-624-034-069</t>
  </si>
  <si>
    <t>Universal Joint, 
Upper</t>
  </si>
  <si>
    <t>Universal Joint, 
Lower</t>
  </si>
  <si>
    <t>To Universal Joint, 
Upper</t>
  </si>
  <si>
    <t>To Universal Joint, 
Lower</t>
  </si>
  <si>
    <t>Universal Joint, Single</t>
  </si>
  <si>
    <t>Assembling</t>
  </si>
  <si>
    <t>ST-628-038-070</t>
  </si>
  <si>
    <t>ST-629-039-071</t>
  </si>
  <si>
    <t>Rack mounting profile</t>
  </si>
  <si>
    <t>FR-312-066</t>
  </si>
  <si>
    <t>FR-312-066-0127</t>
  </si>
  <si>
    <t>FR-312-025-0128</t>
  </si>
  <si>
    <t>FR-312-024-0129</t>
  </si>
  <si>
    <t>FR-312-025-0130</t>
  </si>
  <si>
    <t>FR-312-024-0131</t>
  </si>
  <si>
    <t>FR-312-022-0132</t>
  </si>
  <si>
    <t>FR-312-066-0133</t>
  </si>
  <si>
    <t xml:space="preserve">Milling </t>
  </si>
  <si>
    <t>FR-A-0357</t>
  </si>
  <si>
    <t>ST-629-047</t>
  </si>
  <si>
    <t>Steering wheel 
mounting</t>
  </si>
  <si>
    <t>Aluminum sheet 2mm</t>
  </si>
  <si>
    <t>ST-629-047-073</t>
  </si>
  <si>
    <t>ST-629-047-074</t>
  </si>
  <si>
    <t>ST-629-047-075</t>
  </si>
  <si>
    <t>20x1.5mm tube (0,90,+-37 
Degree Plies)</t>
  </si>
  <si>
    <t>CNC Router</t>
  </si>
  <si>
    <t>BR-111-022-040</t>
  </si>
  <si>
    <t>BR-111-022-041</t>
  </si>
  <si>
    <t>Copper Washer</t>
  </si>
  <si>
    <t>BR-111-022-042</t>
  </si>
  <si>
    <t>EN-200-060</t>
  </si>
  <si>
    <t>To Differential Mounting</t>
  </si>
  <si>
    <t>EN-200-060-094</t>
  </si>
  <si>
    <t>EN-201-061</t>
  </si>
  <si>
    <t>EN-201-061-095</t>
  </si>
  <si>
    <t>Left Bearing 
Process</t>
  </si>
  <si>
    <t>Right Bearing Process</t>
  </si>
  <si>
    <t>EN-201-063</t>
  </si>
  <si>
    <t>EN-201-063-098</t>
  </si>
  <si>
    <t>EN-210-020-0103</t>
  </si>
  <si>
    <t>EN-210-020-0104</t>
  </si>
  <si>
    <t>EN-240-050-0105</t>
  </si>
  <si>
    <t>EN-240-050-0106</t>
  </si>
  <si>
    <t>EN-240-050-0107</t>
  </si>
  <si>
    <t>EN-215-064</t>
  </si>
  <si>
    <t>CV Joint,Tripod,
outer</t>
  </si>
  <si>
    <t>CV Joint,Tripod,
inner</t>
  </si>
  <si>
    <t>Tripod Housing, 
inner</t>
  </si>
  <si>
    <t>CV Joint, Tripod, 
Outer Process</t>
  </si>
  <si>
    <t>EN-215-064-0108</t>
  </si>
  <si>
    <t>To Rear Hub</t>
  </si>
  <si>
    <t>Tripod Housing, Inner Process</t>
  </si>
  <si>
    <t>EN-215-065</t>
  </si>
  <si>
    <t>EN-215-065-0109</t>
  </si>
  <si>
    <t>Hall Effects</t>
  </si>
  <si>
    <t>WT-A-0806</t>
  </si>
  <si>
    <t>WT-806-016</t>
  </si>
  <si>
    <t>Front Hall Effect 
Gear</t>
  </si>
  <si>
    <t>WT-806-016-018</t>
  </si>
  <si>
    <t>WT-806-016-019</t>
  </si>
  <si>
    <t>M20</t>
  </si>
  <si>
    <t>WT-806-016-020</t>
  </si>
  <si>
    <t>Rear Hall Effect Gear</t>
  </si>
  <si>
    <t>WT-806-017</t>
  </si>
  <si>
    <t>WT-806-017-021</t>
  </si>
  <si>
    <t>WT-806-017-022</t>
  </si>
  <si>
    <t>WT-806-017-023</t>
  </si>
  <si>
    <t>Hall Effect Sensor</t>
  </si>
  <si>
    <t>WT-806-018</t>
  </si>
  <si>
    <t>WT-A-0809</t>
  </si>
  <si>
    <t>WT-809-019</t>
  </si>
  <si>
    <t>WT-809-019-024</t>
  </si>
  <si>
    <t>WT-809-019-025</t>
  </si>
  <si>
    <t>TR413 1-1/4inch</t>
  </si>
  <si>
    <t>WT-A-0810</t>
  </si>
  <si>
    <t>WT-810-020</t>
  </si>
  <si>
    <t>Wheel Stud</t>
  </si>
  <si>
    <t>WT-A-0811</t>
  </si>
  <si>
    <t>WT-811-021</t>
  </si>
  <si>
    <t>To Shock</t>
  </si>
  <si>
    <t>SU-700-010-0189</t>
  </si>
  <si>
    <t>SU-700-010-0190</t>
  </si>
  <si>
    <t>M10x55</t>
  </si>
  <si>
    <t>SU-700-010-0191</t>
  </si>
  <si>
    <t>SU-700-010-0192</t>
  </si>
  <si>
    <t>SU-700-010-0193</t>
  </si>
  <si>
    <t>SU-700-010-0194</t>
  </si>
  <si>
    <t>SU-700-010-0195</t>
  </si>
  <si>
    <t>To Bell Crank Tab</t>
  </si>
  <si>
    <t>SU-700-011-0197</t>
  </si>
  <si>
    <t>SU-700-011-0198</t>
  </si>
  <si>
    <t>To Rear Pullrod</t>
  </si>
  <si>
    <t>SU-700-011-0199</t>
  </si>
  <si>
    <t>To Front Pushrod</t>
  </si>
  <si>
    <t>SU-700-011-0200</t>
  </si>
  <si>
    <t>SU-700-011-0201</t>
  </si>
  <si>
    <t>SU-700-011-0202</t>
  </si>
  <si>
    <t>SU-700-011-0203</t>
  </si>
  <si>
    <t>SU-700-011-0204</t>
  </si>
  <si>
    <t>SU-700-011-0205</t>
  </si>
  <si>
    <t>Assemble to suspension
 arm tab</t>
  </si>
  <si>
    <t>Assemble to Insert, 
Front lower A arm</t>
  </si>
  <si>
    <t>Assemble to Insert, Front 
lower A arm</t>
  </si>
  <si>
    <t>SU-712-022-0210</t>
  </si>
  <si>
    <t>To Retaining Ring 46x1.75</t>
  </si>
  <si>
    <t>SU-712-022-0211</t>
  </si>
  <si>
    <t>To Hall Effect</t>
  </si>
  <si>
    <t>SU-712-022-0216</t>
  </si>
  <si>
    <t>SU-712-022-0217</t>
  </si>
  <si>
    <t>SU-712-022-0218</t>
  </si>
  <si>
    <t>SU-712-022-0219</t>
  </si>
  <si>
    <t>To Rod End M8</t>
  </si>
  <si>
    <t>SU-715-025-0220</t>
  </si>
  <si>
    <t>Tube, front 
pushrod</t>
  </si>
  <si>
    <t>SU-715-026-0221</t>
  </si>
  <si>
    <t>To Bearing Cup Front Lower 
A Arm</t>
  </si>
  <si>
    <t>To Pushrod Insert</t>
  </si>
  <si>
    <t>SU-715-026-0222</t>
  </si>
  <si>
    <t>SU-715-027-0223</t>
  </si>
  <si>
    <t>To Bearing Cup Rear Upper
 A Arm</t>
  </si>
  <si>
    <t>To Pullrod Insert</t>
  </si>
  <si>
    <t>SU-715-027-0224</t>
  </si>
  <si>
    <t>Assembly,front-rear push-
pullrods</t>
  </si>
  <si>
    <t>SU-725-035-0225</t>
  </si>
  <si>
    <t>SU-725-035-0226</t>
  </si>
  <si>
    <t>SU-725-035-0230</t>
  </si>
  <si>
    <t>SU-725-035-0232</t>
  </si>
  <si>
    <t>SU-725-035-0234</t>
  </si>
  <si>
    <t>SU-725-035-0236</t>
  </si>
  <si>
    <t>SU-725-053</t>
  </si>
  <si>
    <t>To Front Upright</t>
  </si>
  <si>
    <t>SU-731-041-0242</t>
  </si>
  <si>
    <t>To Insert, Rear Upper A Arm</t>
  </si>
  <si>
    <t>SU-731-042-0245</t>
  </si>
  <si>
    <t>SU-731-043-0246</t>
  </si>
  <si>
    <t>To Suspension Arm Tab</t>
  </si>
  <si>
    <t>SU-731-044-0247</t>
  </si>
  <si>
    <t>SU-731-044-0248</t>
  </si>
  <si>
    <t>To Rear Upright</t>
  </si>
  <si>
    <t>SU-731-048-0250</t>
  </si>
  <si>
    <t>To Insert, Rear Lower A Arm</t>
  </si>
  <si>
    <t>SU-731-049-0253</t>
  </si>
  <si>
    <t>SU-731-050-0254</t>
  </si>
  <si>
    <t>SU-731-051-0255</t>
  </si>
  <si>
    <t>SU-731-051-0256</t>
  </si>
  <si>
    <t>ST-600-012-076</t>
  </si>
  <si>
    <t xml:space="preserve">Rack Main 
Housing </t>
  </si>
  <si>
    <t>BR-111-022-046</t>
  </si>
  <si>
    <t>EN-208-019-0110</t>
  </si>
  <si>
    <t>EN-226-045-0111</t>
  </si>
  <si>
    <t>EN-240-050-0114</t>
  </si>
  <si>
    <t>BR-114-045-047</t>
  </si>
  <si>
    <t>To chassis</t>
  </si>
  <si>
    <t>FR-312-022-0136</t>
  </si>
  <si>
    <t>FR-312-024-0137</t>
  </si>
  <si>
    <t>FR-312-025-0138</t>
  </si>
  <si>
    <t>FR-312-066-0139</t>
  </si>
  <si>
    <t xml:space="preserve">Tighten Nut </t>
  </si>
  <si>
    <t>CNC Milling Machined</t>
  </si>
  <si>
    <t>Renault 19 Tripod housing</t>
  </si>
  <si>
    <t>EN-226-043-0115</t>
  </si>
  <si>
    <t>6061 T6</t>
  </si>
  <si>
    <t>FR-A-0358</t>
  </si>
  <si>
    <t>FR-358-068</t>
  </si>
  <si>
    <t>FR-358-068-0140</t>
  </si>
  <si>
    <t>Mold</t>
  </si>
  <si>
    <t>Wooden mold</t>
  </si>
  <si>
    <t>FR-358-068-0141</t>
  </si>
  <si>
    <t>FR-358-068-0142</t>
  </si>
  <si>
    <t>FR-358-068-0143</t>
  </si>
  <si>
    <t>FR-358-069</t>
  </si>
  <si>
    <t>Front end plate</t>
  </si>
  <si>
    <t>Made as upper-lower</t>
  </si>
  <si>
    <t>FR-358-069-0144</t>
  </si>
  <si>
    <t>Balsa wood</t>
  </si>
  <si>
    <t>FR-358-069-0145</t>
  </si>
  <si>
    <t>FR-358-069-0146</t>
  </si>
  <si>
    <t>FR-358-069-0147</t>
  </si>
  <si>
    <t>Rear end plate</t>
  </si>
  <si>
    <t>FR-358-070</t>
  </si>
  <si>
    <t>FR-358-070-0148</t>
  </si>
  <si>
    <t>Balsa wood-1mm</t>
  </si>
  <si>
    <t>FR-358-070-0149</t>
  </si>
  <si>
    <t>FR-358-069-0150</t>
  </si>
  <si>
    <t>FR-358-070-0151</t>
  </si>
  <si>
    <t>FR-358-070-0152</t>
  </si>
  <si>
    <t>FR-A-0361</t>
  </si>
  <si>
    <t>FR-361-071</t>
  </si>
  <si>
    <t>FR-A-0362</t>
  </si>
  <si>
    <t>FR-362-072</t>
  </si>
  <si>
    <t>FR-362-072-0153</t>
  </si>
  <si>
    <t>CNC Milling-5D</t>
  </si>
  <si>
    <t>FR-362-072-0154</t>
  </si>
  <si>
    <t>FR-362-072-0155</t>
  </si>
  <si>
    <t>Liquid Application</t>
  </si>
  <si>
    <t>Release agent application</t>
  </si>
  <si>
    <t>FR-362-072-0156</t>
  </si>
  <si>
    <t>FR-362-073</t>
  </si>
  <si>
    <t>Fabric lay down</t>
  </si>
  <si>
    <t>FR-362-073-0157</t>
  </si>
  <si>
    <t>3k carbonfiber 200gr/m2</t>
  </si>
  <si>
    <t>FR-362-073-0158</t>
  </si>
  <si>
    <t>FR-362-073-0159</t>
  </si>
  <si>
    <t>FR-362-073-0160</t>
  </si>
  <si>
    <t>FR-362-073-0161</t>
  </si>
  <si>
    <t>FR-362-073-0162</t>
  </si>
  <si>
    <t>FR-362-073-0163</t>
  </si>
  <si>
    <t>Cut(hand tool)</t>
  </si>
  <si>
    <t>With Dremel</t>
  </si>
  <si>
    <t>FR-362-073-0164</t>
  </si>
  <si>
    <t>FR-362-073-0165</t>
  </si>
  <si>
    <t>Lay out, body panels</t>
  </si>
  <si>
    <t>FR-362-074</t>
  </si>
  <si>
    <t>FR-362-074-0166</t>
  </si>
  <si>
    <t>FR-362-074-0167</t>
  </si>
  <si>
    <t>FR-362-074-0168</t>
  </si>
  <si>
    <t>FR-362-074-0169</t>
  </si>
  <si>
    <t>FR-362-074-0170</t>
  </si>
  <si>
    <t>FR-362-074-0171</t>
  </si>
  <si>
    <t>FR-362-074-0172</t>
  </si>
  <si>
    <t>FR-362-074-0173</t>
  </si>
  <si>
    <t>FR-362-074-0174</t>
  </si>
  <si>
    <t>Front middle plate</t>
  </si>
  <si>
    <t>FR-358-075</t>
  </si>
  <si>
    <t>FR-358-075-0175</t>
  </si>
  <si>
    <t>FR-358-075-0176</t>
  </si>
  <si>
    <t>FR-358-075-0177</t>
  </si>
  <si>
    <t>FR-362-073-0179</t>
  </si>
  <si>
    <t>FR-358-068-0181</t>
  </si>
  <si>
    <t>FR-358-069-0182</t>
  </si>
  <si>
    <t>FR-358-070-0183</t>
  </si>
  <si>
    <t>FR-358-075-0184</t>
  </si>
  <si>
    <t>FR-357-076</t>
  </si>
  <si>
    <t>FR-357-076-0190</t>
  </si>
  <si>
    <t>7mm sheet aluminum (6061 T6)</t>
  </si>
  <si>
    <t>FR-357-076-0191</t>
  </si>
  <si>
    <t>FR-357-076-0193</t>
  </si>
  <si>
    <t>Potentiometer rod</t>
  </si>
  <si>
    <t>FR-357-076-0194</t>
  </si>
  <si>
    <t>FR-357-077</t>
  </si>
  <si>
    <t>Aluminum rod D=5mm</t>
  </si>
  <si>
    <t>FR-357-077-0195</t>
  </si>
  <si>
    <t>FR-357-077-0196</t>
  </si>
  <si>
    <t>FR-357-077-0197</t>
  </si>
  <si>
    <t>To accelerator Potantiometer 
Linkage 2</t>
  </si>
  <si>
    <t>Potentiometer</t>
  </si>
  <si>
    <t>FR-357-077-0198</t>
  </si>
  <si>
    <t>FR-357-078</t>
  </si>
  <si>
    <t>Needle roller bearing  (K4x7x7TN)</t>
  </si>
  <si>
    <t>Roller thrust bearing</t>
  </si>
  <si>
    <t>FR-357-079</t>
  </si>
  <si>
    <t>FR-300-011-0200</t>
  </si>
  <si>
    <t>FR-300-011-0201</t>
  </si>
  <si>
    <t>M6x25</t>
  </si>
  <si>
    <t>M6x20</t>
  </si>
  <si>
    <t>FR-309-019-0202</t>
  </si>
  <si>
    <t>Bosch  DBW 32mm electronic throttle body</t>
  </si>
  <si>
    <t>FR-300-011-0205</t>
  </si>
  <si>
    <t>FR-300-011-0206</t>
  </si>
  <si>
    <t>Brake pedal potentiometer mounting</t>
  </si>
  <si>
    <t>FR-300-080</t>
  </si>
  <si>
    <t>FR-300-080-0208</t>
  </si>
  <si>
    <t>FR-300-080-0209</t>
  </si>
  <si>
    <t>90 degrees</t>
  </si>
  <si>
    <t>FR-300-080-0210</t>
  </si>
  <si>
    <t>FR-300-080-0211</t>
  </si>
  <si>
    <t>FR-300-080-0212</t>
  </si>
  <si>
    <t>FR-300-080-0213</t>
  </si>
  <si>
    <t>EN-246-056-0116</t>
  </si>
  <si>
    <t>EN-246-056-0117</t>
  </si>
  <si>
    <t>EN-245-055-0118</t>
  </si>
  <si>
    <t>M6x40</t>
  </si>
  <si>
    <t>EN-245-055-0119</t>
  </si>
  <si>
    <t>EN-245-055-0120</t>
  </si>
  <si>
    <t>EN-245-055-0121</t>
  </si>
  <si>
    <t>EN-246-056-0122</t>
  </si>
  <si>
    <t>EN-246-056-0123</t>
  </si>
  <si>
    <t>EN-246-056-0124</t>
  </si>
  <si>
    <t>EN-246-056-0125</t>
  </si>
  <si>
    <t>EN-245-055-0126</t>
  </si>
  <si>
    <t>BR-100-010-048</t>
  </si>
  <si>
    <t>BR-100-011-049</t>
  </si>
  <si>
    <t>BR-114-045-050</t>
  </si>
  <si>
    <t>BR-114-045-051</t>
  </si>
  <si>
    <t>BR-114-045-052</t>
  </si>
  <si>
    <t>M6x120</t>
  </si>
  <si>
    <t>EN-200-023-0127</t>
  </si>
  <si>
    <t>EN-200-023-0128</t>
  </si>
  <si>
    <t>EN-205-066</t>
  </si>
  <si>
    <t>Fuel pump to fuel tank</t>
  </si>
  <si>
    <t>EN-205-066-0129</t>
  </si>
  <si>
    <t>Tightness sylicone applied</t>
  </si>
  <si>
    <t>EN-205-066-0130</t>
  </si>
  <si>
    <t>EN-205-066-0131</t>
  </si>
  <si>
    <t>EN-226-045-0132</t>
  </si>
  <si>
    <t>EN-207-067</t>
  </si>
  <si>
    <t>EN-207-067-0133</t>
  </si>
  <si>
    <t>EN-206-068</t>
  </si>
  <si>
    <t>To fuel rail</t>
  </si>
  <si>
    <t>EN-206-068-0134</t>
  </si>
  <si>
    <t>EN-206-068-0135</t>
  </si>
  <si>
    <t>EN-207-067-0136</t>
  </si>
  <si>
    <t>M10x20</t>
  </si>
  <si>
    <t>EN-208-018-0137</t>
  </si>
  <si>
    <t>Alloy, Sprocket Material</t>
  </si>
  <si>
    <t>EN-208-069</t>
  </si>
  <si>
    <t>To engine output shaft</t>
  </si>
  <si>
    <t>Differential sprocket housing</t>
  </si>
  <si>
    <t>EN-208-069-0138</t>
  </si>
  <si>
    <t>EN-208-069-0139</t>
  </si>
  <si>
    <t>CNC Machined</t>
  </si>
  <si>
    <t>EN-208-069-0140</t>
  </si>
  <si>
    <t xml:space="preserve">Spline </t>
  </si>
  <si>
    <t>EN-208-069-0141</t>
  </si>
  <si>
    <t>EN-208-069-0142</t>
  </si>
  <si>
    <t>20x1</t>
  </si>
  <si>
    <t>EN-214-024-0143</t>
  </si>
  <si>
    <t>To CV joint outer</t>
  </si>
  <si>
    <t>EN-214-024-0144</t>
  </si>
  <si>
    <t>EN-214-024-0145</t>
  </si>
  <si>
    <t>To CV joint inner</t>
  </si>
  <si>
    <t>EN-214-024-0146</t>
  </si>
  <si>
    <t>To inner tripod joint housing</t>
  </si>
  <si>
    <t>EN-214-024-0147</t>
  </si>
  <si>
    <t>To outer tripod joint housing</t>
  </si>
  <si>
    <t>To differential short shaft</t>
  </si>
  <si>
    <t>EN-225-070</t>
  </si>
  <si>
    <t>EN-225-070-0148</t>
  </si>
  <si>
    <t>EN-225-070-0149</t>
  </si>
  <si>
    <t>EN-A-0261</t>
  </si>
  <si>
    <t>EN-261-071</t>
  </si>
  <si>
    <t>Sight tube 
housing tube</t>
  </si>
  <si>
    <t>EN-226-040-0150</t>
  </si>
  <si>
    <t>EN-226-042-0151</t>
  </si>
  <si>
    <t>Muffler pipe</t>
  </si>
  <si>
    <t>EN-228-072</t>
  </si>
  <si>
    <t>Process(Muffler)</t>
  </si>
  <si>
    <t>EN-228-073</t>
  </si>
  <si>
    <t>Steel pipe 40mm</t>
  </si>
  <si>
    <t>EN-228-072-0152</t>
  </si>
  <si>
    <t>Cutting(Hand tool)</t>
  </si>
  <si>
    <t>EN-228-072-0153</t>
  </si>
  <si>
    <t>EN-228-072-0154</t>
  </si>
  <si>
    <t>EN-228-073-0155</t>
  </si>
  <si>
    <t>EN-228-073-0156</t>
  </si>
  <si>
    <t>EN-228-073-0157</t>
  </si>
  <si>
    <t>EN-238-048-0158</t>
  </si>
  <si>
    <t>EN-238-049-0159</t>
  </si>
  <si>
    <t>EN-238-048-0160</t>
  </si>
  <si>
    <t>EN-238-049-0161</t>
  </si>
  <si>
    <t>Rod end</t>
  </si>
  <si>
    <t>M10 Right hand male</t>
  </si>
  <si>
    <t>EN-238-074</t>
  </si>
  <si>
    <t>M10 left hand, left hand male</t>
  </si>
  <si>
    <t>EN-238-075</t>
  </si>
  <si>
    <t>EN-238-076</t>
  </si>
  <si>
    <t>EN-238-076-0162</t>
  </si>
  <si>
    <t>EN-238-076-0163</t>
  </si>
  <si>
    <t>EN-238-076-0164</t>
  </si>
  <si>
    <t>8.5mm</t>
  </si>
  <si>
    <t>M10 female (Left and right 
hand)</t>
  </si>
  <si>
    <t xml:space="preserve">Differential mount tensioner </t>
  </si>
  <si>
    <t>M10 right hand nut</t>
  </si>
  <si>
    <t>EN-238-076-0165</t>
  </si>
  <si>
    <t>EN-238-076-0166</t>
  </si>
  <si>
    <t>M10 left hand nut</t>
  </si>
  <si>
    <t>EN-238-076-0167</t>
  </si>
  <si>
    <t>EN-238-076-0168</t>
  </si>
  <si>
    <t>EN-238-076-0169</t>
  </si>
  <si>
    <t xml:space="preserve">M6 </t>
  </si>
  <si>
    <t>1.5mm sheet metal</t>
  </si>
  <si>
    <t>EN-240-050-0170</t>
  </si>
  <si>
    <t>EN-240-050-0171</t>
  </si>
  <si>
    <t>EN-240-050-0172</t>
  </si>
  <si>
    <t>EN-240-050-0173</t>
  </si>
  <si>
    <t>EN-240-077</t>
  </si>
  <si>
    <t>Catchcan cap 
pipe</t>
  </si>
  <si>
    <t>Catchcan cap</t>
  </si>
  <si>
    <t>EN-240-078</t>
  </si>
  <si>
    <t>Catchcan sight tube mount</t>
  </si>
  <si>
    <t>EN-240-079</t>
  </si>
  <si>
    <t>EN-240-080</t>
  </si>
  <si>
    <t>Catchcan bleeder housing mount</t>
  </si>
  <si>
    <t>EN-240-077-0174</t>
  </si>
  <si>
    <t>EN-240-077-0175</t>
  </si>
  <si>
    <t>EN-240-077-0176</t>
  </si>
  <si>
    <t>EN-240-078-0177</t>
  </si>
  <si>
    <t>EN-240-078-0178</t>
  </si>
  <si>
    <t>EN-240-078-0179</t>
  </si>
  <si>
    <t>EN-240-077-0180</t>
  </si>
  <si>
    <t>EN-240-079-0181</t>
  </si>
  <si>
    <t>EN-240-079-0182</t>
  </si>
  <si>
    <t>EN-240-080-0183</t>
  </si>
  <si>
    <t>EN-240-080-0184</t>
  </si>
  <si>
    <t>EN-240-080-0186</t>
  </si>
  <si>
    <t>M8x25</t>
  </si>
  <si>
    <t>EN-240-080-0187</t>
  </si>
  <si>
    <t>EN-240-080-0188</t>
  </si>
  <si>
    <t>Heat exchanger</t>
  </si>
  <si>
    <t>EN-A-0271</t>
  </si>
  <si>
    <t>EN-271-081</t>
  </si>
  <si>
    <t>Sight tube</t>
  </si>
  <si>
    <t>EN-240-082</t>
  </si>
  <si>
    <t>EN-242-083</t>
  </si>
  <si>
    <t>EN-242-083-0189</t>
  </si>
  <si>
    <t>M5x25</t>
  </si>
  <si>
    <t>EN-242-083-0190</t>
  </si>
  <si>
    <t>M5</t>
  </si>
  <si>
    <t>EN-242-083-0191</t>
  </si>
  <si>
    <t>EN-242-083-0192</t>
  </si>
  <si>
    <t>EN-242-083-0193</t>
  </si>
  <si>
    <t>EN-271-084</t>
  </si>
  <si>
    <t>EN-271-085</t>
  </si>
  <si>
    <t>EN-223-033-0194</t>
  </si>
  <si>
    <t>EN-223-033-0195</t>
  </si>
  <si>
    <t>EN-223-034-0196</t>
  </si>
  <si>
    <t>Outlet d=28mm</t>
  </si>
  <si>
    <t>EN-223-034-0197</t>
  </si>
  <si>
    <t>EN-240-086</t>
  </si>
  <si>
    <t>EN-240-086-0198</t>
  </si>
  <si>
    <t>EN-240-086-0199</t>
  </si>
  <si>
    <t>Aluminum pipe</t>
  </si>
  <si>
    <t>EN-240-086-0200</t>
  </si>
  <si>
    <t xml:space="preserve">Oil vapor pipe </t>
  </si>
  <si>
    <t>FR-300-081</t>
  </si>
  <si>
    <t>FR-305-015-0214</t>
  </si>
  <si>
    <t>Diffuser with middle floor pan</t>
  </si>
  <si>
    <t>FR-305-026-0215</t>
  </si>
  <si>
    <t>FR-305-027-0216</t>
  </si>
  <si>
    <t>FR-305-029-0218</t>
  </si>
  <si>
    <t>Grade:S460MC (25x1.6mm 
tube)</t>
  </si>
  <si>
    <t>Grade:S460MC (25x1.4mm 
tube)</t>
  </si>
  <si>
    <t>Grade:S355MC (30x2mm 
tube)</t>
  </si>
  <si>
    <t>FR-305-029-0219</t>
  </si>
  <si>
    <t xml:space="preserve">Main hoop </t>
  </si>
  <si>
    <t>Roll bending(main hoop)</t>
  </si>
  <si>
    <t>Front bulkhead, front and main hoop bracings, side and side support members, middle lower support members</t>
  </si>
  <si>
    <t>Rear bulkhead tubes, rear side members, front lower diagonal member, front side diagonal members</t>
  </si>
  <si>
    <t>Main hoop, front hoop and shoulder harness tubes</t>
  </si>
  <si>
    <t>FR-312-082</t>
  </si>
  <si>
    <t>Head restraint
tube</t>
  </si>
  <si>
    <t>FR-312-082-0220</t>
  </si>
  <si>
    <t>Grade:AISI 1020(19X1.5mm)</t>
  </si>
  <si>
    <t>FR-312-082-0221</t>
  </si>
  <si>
    <t>FR-312-082-0222</t>
  </si>
  <si>
    <t>Steel profile (50x25mm)</t>
  </si>
  <si>
    <t>FR-305-083</t>
  </si>
  <si>
    <t>FR-305-083-0224</t>
  </si>
  <si>
    <t>Surface preperation</t>
  </si>
  <si>
    <t>MS-A-0505</t>
  </si>
  <si>
    <t>MS-505-015</t>
  </si>
  <si>
    <t>Painting</t>
  </si>
  <si>
    <t>MS-505-016</t>
  </si>
  <si>
    <t>With P600 sandpaper</t>
  </si>
  <si>
    <t>MS-505-015-09</t>
  </si>
  <si>
    <t>Painting(Spray)</t>
  </si>
  <si>
    <t>MS-505-015-010</t>
  </si>
  <si>
    <t>Paint(Spray)</t>
  </si>
  <si>
    <t>MS-505-016-011</t>
  </si>
  <si>
    <t>MS-A-0507</t>
  </si>
  <si>
    <t>MS-507-017</t>
  </si>
  <si>
    <t>Foam</t>
  </si>
  <si>
    <t>MS-507-017-012</t>
  </si>
  <si>
    <t>MS-507-017-013</t>
  </si>
  <si>
    <t>Leather to foam</t>
  </si>
  <si>
    <t>MS-507-017-014</t>
  </si>
  <si>
    <t>To head restraint plate</t>
  </si>
  <si>
    <t>MS-507-017-015</t>
  </si>
  <si>
    <t>MS-507-018</t>
  </si>
  <si>
    <t>MS-507-017-016</t>
  </si>
  <si>
    <t>MS-507-017-017</t>
  </si>
  <si>
    <t>MS-507-017-018</t>
  </si>
  <si>
    <t>MS-507-017-019</t>
  </si>
  <si>
    <t>Head restraint 
plate</t>
  </si>
  <si>
    <t>Sheet Aluminum 3mm</t>
  </si>
  <si>
    <t>MS-507-018-020</t>
  </si>
  <si>
    <t>MS-507-018-021</t>
  </si>
  <si>
    <t>MS-507-018-022</t>
  </si>
  <si>
    <t>MS-507-017-023</t>
  </si>
  <si>
    <t>MS-507-018-024</t>
  </si>
  <si>
    <t>MS-507-018-025</t>
  </si>
  <si>
    <t>MS-507-018-026</t>
  </si>
  <si>
    <t>To head restraint tabs</t>
  </si>
  <si>
    <t>Head restraint tab</t>
  </si>
  <si>
    <t>FR-312-084</t>
  </si>
  <si>
    <t>FR-312-084-0225</t>
  </si>
  <si>
    <t>FR-312-084-0226</t>
  </si>
  <si>
    <t>FR-312-084-0227</t>
  </si>
  <si>
    <t>Floor pan, front</t>
  </si>
  <si>
    <t>FR-309-019-0228</t>
  </si>
  <si>
    <t>Flow mesh</t>
  </si>
  <si>
    <t>FR-362-073-0229</t>
  </si>
  <si>
    <t>Vacuum fabric lay 
down</t>
  </si>
  <si>
    <t>FR-362-073-0230</t>
  </si>
  <si>
    <t>Peel ply</t>
  </si>
  <si>
    <t>FR-362-074-0231</t>
  </si>
  <si>
    <t>FR-362-074-0232</t>
  </si>
  <si>
    <t>M8x55</t>
  </si>
  <si>
    <t>Fastener Install(every)</t>
  </si>
  <si>
    <t>FR-300-011-0233</t>
  </si>
  <si>
    <t>FR-300-014-0236</t>
  </si>
  <si>
    <t>FR-300-085</t>
  </si>
  <si>
    <t>FR-300-085-0237</t>
  </si>
  <si>
    <t>FR-300-085-0238</t>
  </si>
  <si>
    <t>Process and Fasteners, electric motor and power screw mounting</t>
  </si>
  <si>
    <t>FR-300-085-0239</t>
  </si>
  <si>
    <t>FR-300-085-0240</t>
  </si>
  <si>
    <t>FR-300-085-0241</t>
  </si>
  <si>
    <t>FR-309-042-0243</t>
  </si>
  <si>
    <t>FR-309-019-0245</t>
  </si>
  <si>
    <t>FR-309-019-0246</t>
  </si>
  <si>
    <t>FR-309-042-0247</t>
  </si>
  <si>
    <t>FR-309-042-0248</t>
  </si>
  <si>
    <t>FR-309-042-0249</t>
  </si>
  <si>
    <t>FR-300-011-0250</t>
  </si>
  <si>
    <t>MS-507-018-027</t>
  </si>
  <si>
    <t>M8x50</t>
  </si>
  <si>
    <t>ST-600-013-077</t>
  </si>
  <si>
    <t>To steering rack bracket</t>
  </si>
  <si>
    <t>ST-600-010-078</t>
  </si>
  <si>
    <t>To rack main housing</t>
  </si>
  <si>
    <t>ST-600-011-079</t>
  </si>
  <si>
    <t>To rack housing tube</t>
  </si>
  <si>
    <t>ST-600-014-080</t>
  </si>
  <si>
    <t>ST-600-014-081</t>
  </si>
  <si>
    <t>ST-600-014-082</t>
  </si>
  <si>
    <t>With bushings</t>
  </si>
  <si>
    <t>ST-600-014-083</t>
  </si>
  <si>
    <t>With upper bearing</t>
  </si>
  <si>
    <t>ST-600-013-084</t>
  </si>
  <si>
    <t>With lower bearing</t>
  </si>
  <si>
    <t>ST-600-013-085</t>
  </si>
  <si>
    <t>ST-600-012-086</t>
  </si>
  <si>
    <t>To rack</t>
  </si>
  <si>
    <t>ST-613-024-087</t>
  </si>
  <si>
    <t>AISI 4340</t>
  </si>
  <si>
    <t>ST-613-024-088</t>
  </si>
  <si>
    <t>ST-613-024-089</t>
  </si>
  <si>
    <t>ST-613-024-090</t>
  </si>
  <si>
    <t>ST-613-025-091</t>
  </si>
  <si>
    <t>ST-613-025-092</t>
  </si>
  <si>
    <t>ST-613-024-093</t>
  </si>
  <si>
    <t>Bewel gear housing (Part II)</t>
  </si>
  <si>
    <t>Bewel gear housing(Part I)</t>
  </si>
  <si>
    <t>ST-613-025-094</t>
  </si>
  <si>
    <t>ST-613-025-095</t>
  </si>
  <si>
    <t>ST-613-025-096</t>
  </si>
  <si>
    <t>Bewel gear housing(Part II)</t>
  </si>
  <si>
    <t>ST-613-027-097</t>
  </si>
  <si>
    <t>ST-613-027-098</t>
  </si>
  <si>
    <t>ST-613-027-099</t>
  </si>
  <si>
    <t>ST-613-027-0100</t>
  </si>
  <si>
    <t>To bewel gear housing</t>
  </si>
  <si>
    <t>ST-613-024-0101</t>
  </si>
  <si>
    <t>ST-613-027-0102</t>
  </si>
  <si>
    <t>With bewel gear</t>
  </si>
  <si>
    <t>Gudgeon</t>
  </si>
  <si>
    <t>ST-613-024-0103</t>
  </si>
  <si>
    <t>ST-613-024-0104</t>
  </si>
  <si>
    <t>ST-613-025-0105</t>
  </si>
  <si>
    <t>ST-613-025-0106</t>
  </si>
  <si>
    <t>ST-613-028-0107</t>
  </si>
  <si>
    <t>ST-613-028-0108</t>
  </si>
  <si>
    <t>ST-613-028-0109</t>
  </si>
  <si>
    <t>ST-613-028-0110</t>
  </si>
  <si>
    <t>ST-613-024-0111</t>
  </si>
  <si>
    <t>ST-613-025-0112</t>
  </si>
  <si>
    <t>ST-613-028-0113</t>
  </si>
  <si>
    <t>ST-613-028-0114</t>
  </si>
  <si>
    <t>ST-613-024-0115</t>
  </si>
  <si>
    <t>ST-613-025-0116</t>
  </si>
  <si>
    <t>ST-629-039-0117</t>
  </si>
  <si>
    <t>Quick release plate</t>
  </si>
  <si>
    <t>ST-626-049</t>
  </si>
  <si>
    <t>ST-626-049-0118</t>
  </si>
  <si>
    <t>ST-626-049-0119</t>
  </si>
  <si>
    <t>ST-626-049-0120</t>
  </si>
  <si>
    <t>ST-626-049-0121</t>
  </si>
  <si>
    <t>ST-626-049-0122</t>
  </si>
  <si>
    <t xml:space="preserve">To quick release </t>
  </si>
  <si>
    <t>ST-626-049-0123</t>
  </si>
  <si>
    <t>To steering wheel mount</t>
  </si>
  <si>
    <t>ST-626-049-0124</t>
  </si>
  <si>
    <t>ST-629-039-0125</t>
  </si>
  <si>
    <t>ST-629-039-0126</t>
  </si>
  <si>
    <t>ST-629-039-0127</t>
  </si>
  <si>
    <t>ST-629-047-0128</t>
  </si>
  <si>
    <t>ST-629-047-0129</t>
  </si>
  <si>
    <t>ST-629-047-0130</t>
  </si>
  <si>
    <t>Fluid reservoir to master cylinder</t>
  </si>
  <si>
    <t>BR-114-045-054</t>
  </si>
  <si>
    <t xml:space="preserve">Fluid reservoir </t>
  </si>
  <si>
    <t>EN-238-048-0201</t>
  </si>
  <si>
    <t>EN-238-048-0202</t>
  </si>
  <si>
    <t>EN-238-049-0204</t>
  </si>
  <si>
    <t>EN-238-049-0205</t>
  </si>
  <si>
    <t>EN-238-048-0207</t>
  </si>
  <si>
    <t>EN-238-049-0208</t>
  </si>
  <si>
    <t>To steering wheel mounting</t>
  </si>
  <si>
    <t>ST-629-047-0131</t>
  </si>
  <si>
    <t>To quick shifter mounting 
plate</t>
  </si>
  <si>
    <t>ST-630-042-0132</t>
  </si>
  <si>
    <t>To tie rod tube</t>
  </si>
  <si>
    <t>SU-700-010-0257</t>
  </si>
  <si>
    <t>Carbon fiber-aluminum A 
arms</t>
  </si>
  <si>
    <t>Assemble to Insert, Front 
upper A arm</t>
  </si>
  <si>
    <t>SU-700-010-0258</t>
  </si>
  <si>
    <t>To suspension tab</t>
  </si>
  <si>
    <t>SU-702-021-0259</t>
  </si>
  <si>
    <t>SU-702-040-0260</t>
  </si>
  <si>
    <t>M8x55 12.9 Grade</t>
  </si>
  <si>
    <t>SU-712-022-0261</t>
  </si>
  <si>
    <t>SU-715-028-0262</t>
  </si>
  <si>
    <t>Rod end install(M8 right and 
left hand male)</t>
  </si>
  <si>
    <t>Rod end install (M8 right and left hand male)</t>
  </si>
  <si>
    <t>Rod end Install ( M6 right and left hand male)</t>
  </si>
  <si>
    <t>ST-630-050</t>
  </si>
  <si>
    <t>M6 Male Joint 
Right Thread Rod End</t>
  </si>
  <si>
    <t>ST-630-051</t>
  </si>
  <si>
    <t>M6 Male Joint 
Left Thread Rod End</t>
  </si>
  <si>
    <t>M7 (for wheel speed sensor sprocket)</t>
  </si>
  <si>
    <t>M7(for wheel speed sensor sprocket)</t>
  </si>
  <si>
    <t>WT-800-010-026</t>
  </si>
  <si>
    <t>To front upright</t>
  </si>
  <si>
    <t>WT-801-011-027</t>
  </si>
  <si>
    <t>WT-802-022</t>
  </si>
  <si>
    <t>WT-802-022-028</t>
  </si>
  <si>
    <t>To wheel</t>
  </si>
  <si>
    <t>Aseembling</t>
  </si>
  <si>
    <t>WT-803-023</t>
  </si>
  <si>
    <t>WT-803-023-029</t>
  </si>
  <si>
    <t>To front or rear hub</t>
  </si>
  <si>
    <t>61813-2RS Deep groove ball bearings</t>
  </si>
  <si>
    <t>3304 A-2RS1 (Angular contact ball bearings, double row</t>
  </si>
  <si>
    <t>WT-804-024</t>
  </si>
  <si>
    <t>WT-804-024-030</t>
  </si>
  <si>
    <t>Front bearing to front upright</t>
  </si>
  <si>
    <t>Rear bearing to rear upright</t>
  </si>
  <si>
    <t>WT-804-024-031</t>
  </si>
  <si>
    <t>WT-809-019-032</t>
  </si>
  <si>
    <t>WT-810-025</t>
  </si>
  <si>
    <t>WT-811-026</t>
  </si>
  <si>
    <t>WT-810-025-033</t>
  </si>
  <si>
    <t>WT-811-026-034</t>
  </si>
  <si>
    <t>To tire</t>
  </si>
  <si>
    <t>WT-806-016-035</t>
  </si>
  <si>
    <t>WT-806-017-036</t>
  </si>
  <si>
    <t>Fasten to rear hub</t>
  </si>
  <si>
    <t>Fasten to front hub</t>
  </si>
  <si>
    <t>Assembling, hall effect</t>
  </si>
  <si>
    <t>WT-806-027</t>
  </si>
  <si>
    <t>To front or rear upright</t>
  </si>
  <si>
    <t>WT-806-027-037</t>
  </si>
  <si>
    <t>To hub and to lug nuts</t>
  </si>
  <si>
    <t>FR-300-080-0251</t>
  </si>
  <si>
    <t>FR-300-080-0252</t>
  </si>
  <si>
    <t>M7x25</t>
  </si>
  <si>
    <t>WT-806-027-038</t>
  </si>
  <si>
    <t>M7</t>
  </si>
  <si>
    <t>WT-806-027-039</t>
  </si>
  <si>
    <t>WT-806-027-040</t>
  </si>
  <si>
    <t xml:space="preserve">Sealing </t>
  </si>
  <si>
    <t>Liquid seal applied</t>
  </si>
  <si>
    <t>EN-245-055-0210</t>
  </si>
  <si>
    <t>EN-A-0278</t>
  </si>
  <si>
    <t>EN-278-088</t>
  </si>
  <si>
    <t>EN-278-089</t>
  </si>
  <si>
    <t>EN-278-089-0211</t>
  </si>
  <si>
    <t>EN-278-089-0212</t>
  </si>
  <si>
    <t>ST-613-028-0133</t>
  </si>
  <si>
    <t>Steering 
mounting tube</t>
  </si>
  <si>
    <t xml:space="preserve">Carbon fiber </t>
  </si>
  <si>
    <t>Diffuser and 
middle floor pan tabs</t>
  </si>
  <si>
    <t>To steering mounting profile</t>
  </si>
  <si>
    <t>ST-600-013-0134</t>
  </si>
  <si>
    <t>EN-278-089-0213</t>
  </si>
  <si>
    <t>FR-312-086</t>
  </si>
  <si>
    <t>FR-312-086-0253</t>
  </si>
  <si>
    <t>FR-312-086-0254</t>
  </si>
  <si>
    <t>FR-312-086-0255</t>
  </si>
  <si>
    <t>FR-312-086-0256</t>
  </si>
  <si>
    <t>D5</t>
  </si>
  <si>
    <t>FR-312-086-0257</t>
  </si>
  <si>
    <t>EN-226-040-0214</t>
  </si>
  <si>
    <t>EN-226-036-0215</t>
  </si>
  <si>
    <t>6061 T6 Aluminum 1.5mm</t>
  </si>
  <si>
    <t xml:space="preserve">2 piece sheet is welded </t>
  </si>
  <si>
    <t>EN-226-036-0216</t>
  </si>
  <si>
    <t>EN-226-036-0217</t>
  </si>
  <si>
    <t>EN-226-036-0218</t>
  </si>
  <si>
    <t>EN-226-036-0219</t>
  </si>
  <si>
    <t>EN-226-059-0220</t>
  </si>
  <si>
    <t>Battery box</t>
  </si>
  <si>
    <t>FR-312-086-0258</t>
  </si>
  <si>
    <t>&lt;</t>
  </si>
  <si>
    <t>Fuel rail</t>
  </si>
  <si>
    <t>EN-261-090</t>
  </si>
  <si>
    <t>Male flare to pipe</t>
  </si>
  <si>
    <t>EN-261-090-0221</t>
  </si>
  <si>
    <t>Tube sleeve</t>
  </si>
  <si>
    <t>EN-261-090-0222</t>
  </si>
  <si>
    <t>Fuel pump fitting</t>
  </si>
  <si>
    <t>Fuel line fitting</t>
  </si>
  <si>
    <t>Tube nut</t>
  </si>
  <si>
    <t>EN-261-090-0223</t>
  </si>
  <si>
    <t>Fittings and adapters</t>
  </si>
  <si>
    <t>Fuel line splitter</t>
  </si>
  <si>
    <t>EN-261-090-0224</t>
  </si>
  <si>
    <t>Adapter, Male branch tee</t>
  </si>
  <si>
    <t>Adapter, union</t>
  </si>
  <si>
    <t>Straight couplers</t>
  </si>
  <si>
    <t>EN-261-090-0225</t>
  </si>
  <si>
    <t>EN-261-090-0226</t>
  </si>
  <si>
    <t>EN-261-090-0227</t>
  </si>
  <si>
    <t>Fuel hose</t>
  </si>
  <si>
    <t>EN-261-091</t>
  </si>
  <si>
    <t>EN-261-091-0228</t>
  </si>
  <si>
    <t>1.1 meters</t>
  </si>
  <si>
    <t>Silicone</t>
  </si>
  <si>
    <t>EN-261-091-0229</t>
  </si>
  <si>
    <t>Infusion molding</t>
  </si>
  <si>
    <t>FR-309-042-0260</t>
  </si>
  <si>
    <t>FR-362-072-0261</t>
  </si>
  <si>
    <t>To firewall tabs</t>
  </si>
  <si>
    <t>MS-500-011-028</t>
  </si>
  <si>
    <t>MS-500-011-029</t>
  </si>
  <si>
    <t>M5x12</t>
  </si>
  <si>
    <t>MS-500-011-030</t>
  </si>
  <si>
    <t>MS-500-011-031</t>
  </si>
  <si>
    <t>MS-500-011-032</t>
  </si>
  <si>
    <t>Harness tabs</t>
  </si>
  <si>
    <t>Fastener install(every)</t>
  </si>
  <si>
    <t>FR-312-088</t>
  </si>
  <si>
    <t>Integrals to frame</t>
  </si>
  <si>
    <t>MS-502-020</t>
  </si>
  <si>
    <t>MS-502-020-033</t>
  </si>
  <si>
    <t>MS-502-020-034</t>
  </si>
  <si>
    <t>5mm</t>
  </si>
  <si>
    <t>MS-502-020-035</t>
  </si>
  <si>
    <t>To driver's harness</t>
  </si>
  <si>
    <t>MS-502-020-036</t>
  </si>
  <si>
    <t>CNC Router 2.2 m2 cut to 20 parts(as 10 left and 10 right body panels)</t>
  </si>
  <si>
    <t>FR-362-074-0262</t>
  </si>
  <si>
    <t>FR-358-068-0264</t>
  </si>
  <si>
    <t>FR-358-069-0265</t>
  </si>
  <si>
    <t>FR-358-070-0266</t>
  </si>
  <si>
    <t>FR-358-075-0267</t>
  </si>
  <si>
    <t>FR-300-011-0268</t>
  </si>
  <si>
    <t>FR-358-069-0269</t>
  </si>
  <si>
    <t>FR-358-068-0270</t>
  </si>
  <si>
    <t>FR-300-011-0271</t>
  </si>
  <si>
    <t xml:space="preserve">Loose to wheel </t>
  </si>
  <si>
    <t>Process and Fasteners</t>
  </si>
  <si>
    <t>EN-205-066-0230</t>
  </si>
  <si>
    <t>EN-205-066-0231</t>
  </si>
  <si>
    <t>Balsa wood 2 mm</t>
  </si>
  <si>
    <t>MS-504-014-037</t>
  </si>
  <si>
    <t>MS-504-014-038</t>
  </si>
  <si>
    <t>MS-504-014-039</t>
  </si>
  <si>
    <t>MS-504-014-040</t>
  </si>
  <si>
    <t>To seat bracket tab</t>
  </si>
  <si>
    <t>MS-504-014-041</t>
  </si>
  <si>
    <t>To seat</t>
  </si>
  <si>
    <t>MS-504-014-042</t>
  </si>
  <si>
    <t>MS-504-014-043</t>
  </si>
  <si>
    <t>MS-504-014-044</t>
  </si>
  <si>
    <t>MS-504-014-045</t>
  </si>
  <si>
    <t>MS-504-014-046</t>
  </si>
  <si>
    <t>Adhesive tape</t>
  </si>
  <si>
    <t>Attaching</t>
  </si>
  <si>
    <t>M8 Nuts</t>
  </si>
  <si>
    <t>SU-731-052-0263</t>
  </si>
  <si>
    <t>To rear lower suspension 
tabs</t>
  </si>
  <si>
    <t>Pushrod-pullrod inserts(as right and left thread)</t>
  </si>
  <si>
    <t>SU-702-021-0264</t>
  </si>
  <si>
    <t>SU-702-021-0265</t>
  </si>
  <si>
    <t>SU-702-021-0266</t>
  </si>
  <si>
    <t>SU-702-040-0267</t>
  </si>
  <si>
    <t>m8</t>
  </si>
  <si>
    <t>SU-702-040-0268</t>
  </si>
  <si>
    <t>SU-702-040-0269</t>
  </si>
  <si>
    <t>To carrier suspension arm 
cup(lower arm at front, upper arm at rear)</t>
  </si>
  <si>
    <t>SU-715-028-0270</t>
  </si>
  <si>
    <t>SU-715-028-0271</t>
  </si>
  <si>
    <t>SU-715-028-0272</t>
  </si>
  <si>
    <t>SU-731-045-0273</t>
  </si>
  <si>
    <t>SU-731-045-0274</t>
  </si>
  <si>
    <t>SU-731-045-0275</t>
  </si>
  <si>
    <t>SU-731-052-0276</t>
  </si>
  <si>
    <t>SU-731-052-0277</t>
  </si>
  <si>
    <t>SU-731-052-0278</t>
  </si>
  <si>
    <t>SU-731-045-0279</t>
  </si>
  <si>
    <t>To rear upper suspension 
tabs</t>
  </si>
  <si>
    <t>Head rest padding</t>
  </si>
  <si>
    <t>Cnc router machined</t>
  </si>
  <si>
    <t>ST-629-039-0135</t>
  </si>
  <si>
    <t>FR-339-049-0272</t>
  </si>
  <si>
    <t>Shifter stick</t>
  </si>
  <si>
    <t>FR-339-050-0273</t>
  </si>
  <si>
    <t>FR-339-089</t>
  </si>
  <si>
    <t>FR-339-089-0274</t>
  </si>
  <si>
    <t>FR-339-089-0275</t>
  </si>
  <si>
    <t>FR-339-089-0276</t>
  </si>
  <si>
    <t>FR-307-090</t>
  </si>
  <si>
    <t>FR-307-090-0277</t>
  </si>
  <si>
    <t>FR-307-090-0278</t>
  </si>
  <si>
    <t>FR-307-090-0279</t>
  </si>
  <si>
    <t>FR-307-090-0280</t>
  </si>
  <si>
    <t>FR-307-090-0281</t>
  </si>
  <si>
    <t>Shifter linkage I</t>
  </si>
  <si>
    <t>Shifter linkage II</t>
  </si>
  <si>
    <t>FR-307-091</t>
  </si>
  <si>
    <t>FR-307-091-0282</t>
  </si>
  <si>
    <t>FR-307-091-0283</t>
  </si>
  <si>
    <t>D6</t>
  </si>
  <si>
    <t>FR-307-091-0284</t>
  </si>
  <si>
    <t>FR-307-091-0285</t>
  </si>
  <si>
    <t>FR-307-091-0286</t>
  </si>
  <si>
    <t>FR-307-091-0287</t>
  </si>
  <si>
    <t>FR-307-091-0288</t>
  </si>
  <si>
    <t>Dashboard</t>
  </si>
  <si>
    <t>EL-A-0400</t>
  </si>
  <si>
    <t>EL-400-010</t>
  </si>
  <si>
    <t>EL-400-010-01</t>
  </si>
  <si>
    <t>Balsa wood 1mm</t>
  </si>
  <si>
    <t>EL-400-010-02</t>
  </si>
  <si>
    <t>EL-400-010-03</t>
  </si>
  <si>
    <t>AISI 1020 3 mm</t>
  </si>
  <si>
    <t>1.5mm sheet aluminum 6061 T6</t>
  </si>
  <si>
    <t>EL-400-010-04</t>
  </si>
  <si>
    <t>EL-400-010-05</t>
  </si>
  <si>
    <t>EL-400-010-06</t>
  </si>
  <si>
    <t>EL-400-010-07</t>
  </si>
  <si>
    <t>EL-400-010-08</t>
  </si>
  <si>
    <t>EL-400-010-09</t>
  </si>
  <si>
    <t>EL-400-010-010</t>
  </si>
  <si>
    <t>EL-400-010-011</t>
  </si>
  <si>
    <t>ST-630-044-0136</t>
  </si>
  <si>
    <t>ST-630-044-0137</t>
  </si>
  <si>
    <t>ST-630-044-0138</t>
  </si>
  <si>
    <t>ST-630-044-0139</t>
  </si>
  <si>
    <t>To rack clevis</t>
  </si>
  <si>
    <t>ST-630-044-0140</t>
  </si>
  <si>
    <t>ST-630-044-0141</t>
  </si>
  <si>
    <t>Front Tie Rod and Rear Tie
Rod Assembly</t>
  </si>
  <si>
    <t>FR-A-0382</t>
  </si>
  <si>
    <t>FR-382-092</t>
  </si>
  <si>
    <t>FR-382-092-0289</t>
  </si>
  <si>
    <t>FR-382-092-0290</t>
  </si>
  <si>
    <t>FR-382-092-0291</t>
  </si>
  <si>
    <t>FR-382-092-0292</t>
  </si>
  <si>
    <t>FR-382-092-0293</t>
  </si>
  <si>
    <t>FR-382-092-0294</t>
  </si>
  <si>
    <t>Rear wing attachments with 
phosphoric acid</t>
  </si>
  <si>
    <t>Tube, rear wing attachment</t>
  </si>
  <si>
    <t>FR-382-093</t>
  </si>
  <si>
    <t>FR-382-092-0295</t>
  </si>
  <si>
    <t>Rear wing 
attachment mount(wing side)</t>
  </si>
  <si>
    <t>FR-382-093-0296</t>
  </si>
  <si>
    <t>FR-382-093-0297</t>
  </si>
  <si>
    <t>FR-382-093-0298</t>
  </si>
  <si>
    <t>FR-382-093-0299</t>
  </si>
  <si>
    <t>FR-382-093-0300</t>
  </si>
  <si>
    <t>FR-382-094</t>
  </si>
  <si>
    <t>Insert, rear wing wing attachment</t>
  </si>
  <si>
    <t>D=17.85 M8 left and right thread</t>
  </si>
  <si>
    <t>FR-382-094-0301</t>
  </si>
  <si>
    <t>FR-382-094-0302</t>
  </si>
  <si>
    <t>FR-382-094-0303</t>
  </si>
  <si>
    <t>FR-382-094-0304</t>
  </si>
  <si>
    <t>D4.5</t>
  </si>
  <si>
    <t>FR-382-094-0305</t>
  </si>
  <si>
    <t>Phosphoric acid</t>
  </si>
  <si>
    <t>FR-382-094-0306</t>
  </si>
  <si>
    <t>Water and acetone applied</t>
  </si>
  <si>
    <t>FR-382-092-0307</t>
  </si>
  <si>
    <t>FR-382-094-0308</t>
  </si>
  <si>
    <t>FR-382-095</t>
  </si>
  <si>
    <t>Assembling, rear wing wing attachment</t>
  </si>
  <si>
    <t>FR-382-095-0309</t>
  </si>
  <si>
    <t>With p80 sandpaper</t>
  </si>
  <si>
    <t>To prevent the adhesive rub on</t>
  </si>
  <si>
    <t xml:space="preserve">Acetone applied
</t>
  </si>
  <si>
    <t>FR-382-095-0310</t>
  </si>
  <si>
    <t>Rod end install M6(M6 right and left thread male)</t>
  </si>
  <si>
    <t>FR-382-095-0311</t>
  </si>
  <si>
    <t>To rear wing mount (wing side)</t>
  </si>
  <si>
    <t>FR-382-095-0312</t>
  </si>
  <si>
    <t>FR-382-095-0313</t>
  </si>
  <si>
    <t>To rear wing mount (chassis side)</t>
  </si>
  <si>
    <t>FR-382-095-0314</t>
  </si>
  <si>
    <t>FR-382-095-0315</t>
  </si>
  <si>
    <t>FR-382-095-0316</t>
  </si>
  <si>
    <t>FR-382-096</t>
  </si>
  <si>
    <t>FR-382-097</t>
  </si>
  <si>
    <t>FR-382-098</t>
  </si>
  <si>
    <t>Rear wing attachment tabs</t>
  </si>
  <si>
    <t>FR-382-098-0317</t>
  </si>
  <si>
    <t>FR-382-098-0318</t>
  </si>
  <si>
    <t>FR-382-098-0319</t>
  </si>
  <si>
    <t>Rear Wing Attachments</t>
  </si>
  <si>
    <t>WT-806-027-041</t>
  </si>
  <si>
    <t>Power cables</t>
  </si>
  <si>
    <t>FR-300-085-0320</t>
  </si>
  <si>
    <t>FR-307-091-0321</t>
  </si>
  <si>
    <t xml:space="preserve">From paddle shifter </t>
  </si>
  <si>
    <t>Wheel, 13", 3 Piece, Keizer, 
Kosmo Forged Magnesium</t>
  </si>
  <si>
    <t>Wheel</t>
  </si>
  <si>
    <t>Assemble to the rear hub</t>
  </si>
  <si>
    <t>Assemble to the calipers</t>
  </si>
  <si>
    <t>Front caliper to the front 
upright</t>
  </si>
  <si>
    <t>BR-106-040-055</t>
  </si>
  <si>
    <t>Rear calipers to the rear 
uprights</t>
  </si>
  <si>
    <t>Brake master to the brake pedal</t>
  </si>
  <si>
    <t>Loose to the differential mounts</t>
  </si>
  <si>
    <t>Fuel pump pressure plate to 
fuel pump and to the fuel pump bolt housing</t>
  </si>
  <si>
    <t>To fuel hose after the fuel tank</t>
  </si>
  <si>
    <t>To the differential sprocket 
housing</t>
  </si>
  <si>
    <t>To the engine sprocket</t>
  </si>
  <si>
    <t>To the differential sprocket</t>
  </si>
  <si>
    <t>For Spline of the right Half Shaft</t>
  </si>
  <si>
    <t>For Spline of the left Half Shaft</t>
  </si>
  <si>
    <t>To the intake manifold</t>
  </si>
  <si>
    <t>To the fuel rail</t>
  </si>
  <si>
    <t>To the fuel tank tab</t>
  </si>
  <si>
    <t>To the fuel tank box</t>
  </si>
  <si>
    <t>To the filling pipe</t>
  </si>
  <si>
    <t>To the check valve</t>
  </si>
  <si>
    <t xml:space="preserve">To the check valve </t>
  </si>
  <si>
    <t>To the bleeder screw housing</t>
  </si>
  <si>
    <t>To the muffler tabs</t>
  </si>
  <si>
    <t>To the rod end of differential 
mount tensioner</t>
  </si>
  <si>
    <t>To the differential right bearing</t>
  </si>
  <si>
    <t>To the rod end left hand</t>
  </si>
  <si>
    <t>To the rod end right hand</t>
  </si>
  <si>
    <t>To the catchcan tabs</t>
  </si>
  <si>
    <t>To the catchcan box</t>
  </si>
  <si>
    <t>Tighten to the catchcan pipe</t>
  </si>
  <si>
    <t>With a sealing tape</t>
  </si>
  <si>
    <t>To the radiator</t>
  </si>
  <si>
    <t>To the radiator fan</t>
  </si>
  <si>
    <t>To the throttle body</t>
  </si>
  <si>
    <t>To the intake port line on line</t>
  </si>
  <si>
    <t xml:space="preserve">To the linear guide </t>
  </si>
  <si>
    <t>To the power screw nut</t>
  </si>
  <si>
    <t>To the Brake Potantiometer Linkage 2</t>
  </si>
  <si>
    <t>To the Linear Guide 
Mounting</t>
  </si>
  <si>
    <t>To the Potantiometer</t>
  </si>
  <si>
    <t>To the Bearing (K4x7x7TN)</t>
  </si>
  <si>
    <t>To the pedal plate</t>
  </si>
  <si>
    <t>Electric motor assembles to the front floor pan</t>
  </si>
  <si>
    <t>Power screw mounting assembles to the front floor pan</t>
  </si>
  <si>
    <t>To the front bulkhead</t>
  </si>
  <si>
    <t>Process and 
Tooling</t>
  </si>
  <si>
    <t>FR-305-083-0322</t>
  </si>
  <si>
    <t>Electronic actuator to 
the actuator mount</t>
  </si>
  <si>
    <t>Actuator mount</t>
  </si>
  <si>
    <t>To the shifter linkage I</t>
  </si>
  <si>
    <t>To the quick shifter tab</t>
  </si>
  <si>
    <t>To the chassis</t>
  </si>
  <si>
    <t>To the front suspension 
mounting profile</t>
  </si>
  <si>
    <t>To the main hoop</t>
  </si>
  <si>
    <t>To the head restraint
tube</t>
  </si>
  <si>
    <t>With the sheet aluminum</t>
  </si>
  <si>
    <t>To the battery mounting tabs</t>
  </si>
  <si>
    <t>To the Shifter linkage II</t>
  </si>
  <si>
    <t>To the shifter stick</t>
  </si>
  <si>
    <t>To the gearbox shifter rod</t>
  </si>
  <si>
    <t>FR-339-089-0323</t>
  </si>
  <si>
    <t>To the roller thrust bearing</t>
  </si>
  <si>
    <t>FR-358-099</t>
  </si>
  <si>
    <t>FR-358-099-0325</t>
  </si>
  <si>
    <t xml:space="preserve">Front foils to the front middle plate </t>
  </si>
  <si>
    <t>Front end plate to the front air foils</t>
  </si>
  <si>
    <t>FR-358-099-0326</t>
  </si>
  <si>
    <t>FR-358-0100</t>
  </si>
  <si>
    <t>FR-358-0100-0328</t>
  </si>
  <si>
    <t>FR-358-0100-0329</t>
  </si>
  <si>
    <t>FR-358-0100-0330</t>
  </si>
  <si>
    <t>P80 Sandpaper</t>
  </si>
  <si>
    <t>FR-358-0100-0331</t>
  </si>
  <si>
    <t>In to the front air foils (Epoxy adhesive)</t>
  </si>
  <si>
    <t>FR-358-0100-0332</t>
  </si>
  <si>
    <t>FR-358-0100-0333</t>
  </si>
  <si>
    <t>FR-358-0100-0334</t>
  </si>
  <si>
    <t>FR-358-0100-0335</t>
  </si>
  <si>
    <t>FR-358-075-0336</t>
  </si>
  <si>
    <t>FR-358-075-0337</t>
  </si>
  <si>
    <t>FR-358-075-0338</t>
  </si>
  <si>
    <t>FR-358-075-0339</t>
  </si>
  <si>
    <t>FR-358-075-0340</t>
  </si>
  <si>
    <t>FR-358-070-0341</t>
  </si>
  <si>
    <t>To the front wing tabs</t>
  </si>
  <si>
    <t>FR-358-075-0343</t>
  </si>
  <si>
    <t>As upper and lower</t>
  </si>
  <si>
    <t>FR-358-075-0344</t>
  </si>
  <si>
    <t>To the front wing foils</t>
  </si>
  <si>
    <t>To the front air foils</t>
  </si>
  <si>
    <t>FR-358-070-0345</t>
  </si>
  <si>
    <t>Aerodynamic Wings</t>
  </si>
  <si>
    <t>Front wing air foils</t>
  </si>
  <si>
    <t>Core, front wing 
air foils</t>
  </si>
  <si>
    <t>5mm sheet aluminum</t>
  </si>
  <si>
    <t>FR-358-0101</t>
  </si>
  <si>
    <t>3k carbon fiber 200gr/m2</t>
  </si>
  <si>
    <t>FR-358-0101-0346</t>
  </si>
  <si>
    <t>FR-358-0101-0347</t>
  </si>
  <si>
    <t>FR-358-0101-0348</t>
  </si>
  <si>
    <t>FR-358-0101-0349</t>
  </si>
  <si>
    <t>FR-358-0101-0350</t>
  </si>
  <si>
    <t>FR-358-0101-0351</t>
  </si>
  <si>
    <t>FR-358-0102</t>
  </si>
  <si>
    <t>Core, rear wing 
air foils</t>
  </si>
  <si>
    <t>FR-358-0102-0352</t>
  </si>
  <si>
    <t>5mm and 8mm sheet aluminum</t>
  </si>
  <si>
    <t>FR-358-0102-0353</t>
  </si>
  <si>
    <t>FR-358-0102-0354</t>
  </si>
  <si>
    <t>FR-358-0102-0355</t>
  </si>
  <si>
    <t>FR-358-0102-0356</t>
  </si>
  <si>
    <t>Screw gear</t>
  </si>
  <si>
    <t>FR-358-0102-0357</t>
  </si>
  <si>
    <t>FR-358-0102-0358</t>
  </si>
  <si>
    <t>FR-358-0102-0359</t>
  </si>
  <si>
    <t>FR-358-0103</t>
  </si>
  <si>
    <t>Assembling, rear wing foils</t>
  </si>
  <si>
    <t>FR-358-0103-0360</t>
  </si>
  <si>
    <t>Assembling, front wing</t>
  </si>
  <si>
    <t>To the chassis with rear wing mountings</t>
  </si>
  <si>
    <t>FR-382-092-0364</t>
  </si>
  <si>
    <t>To the rear wing</t>
  </si>
  <si>
    <t>To the rear wing attachment</t>
  </si>
  <si>
    <t>To the rear wing (Epoxy based 
adhesive)</t>
  </si>
  <si>
    <t>Integrals to the rear wing</t>
  </si>
  <si>
    <t>Water and acetone applied
to the rear wing 
attachment mount</t>
  </si>
  <si>
    <t>To the rear wing attachment tube</t>
  </si>
  <si>
    <t>Insert and tube of the rear wing attachment</t>
  </si>
  <si>
    <t>M65 fine thread</t>
  </si>
  <si>
    <t>SU-A-0744</t>
  </si>
  <si>
    <t>SU-744-054</t>
  </si>
  <si>
    <t>Rear toe rod</t>
  </si>
  <si>
    <t>Rear toe inserts</t>
  </si>
  <si>
    <t>Insert, rear toe</t>
  </si>
  <si>
    <t>Insert, pushrod / 
pullrod</t>
  </si>
  <si>
    <t>Insert, Tie rod</t>
  </si>
  <si>
    <t>SU-744-054-0280</t>
  </si>
  <si>
    <t>SU-744-054-0281</t>
  </si>
  <si>
    <t>SU-744-054-0282</t>
  </si>
  <si>
    <t>SU-744-054-0283</t>
  </si>
  <si>
    <t>SU-744-054-0284</t>
  </si>
  <si>
    <t>Acetone applied</t>
  </si>
  <si>
    <t>SU-744-054-0286</t>
  </si>
  <si>
    <t>To the rod end M8</t>
  </si>
  <si>
    <t>SU-744-054-0287</t>
  </si>
  <si>
    <t>SU-744-054-0288</t>
  </si>
  <si>
    <t>Assemble to rear 
suspension tab</t>
  </si>
  <si>
    <t>Tube, rear toe</t>
  </si>
  <si>
    <t>SU-744-055</t>
  </si>
  <si>
    <t>SU-744-055-0289</t>
  </si>
  <si>
    <t>Carbon fiber pipe 20x1mm(+90-0 degrees plies)</t>
  </si>
  <si>
    <t>Carbon fiber pipe 20x1mm(90-0 degrees plies)</t>
  </si>
  <si>
    <t>Carbon fiber pipe 20x1mm
(0,90,+-37 degree plies)</t>
  </si>
  <si>
    <t>With diamond saw</t>
  </si>
  <si>
    <t>SU-744-055-0290</t>
  </si>
  <si>
    <t>SU-744-055-0291</t>
  </si>
  <si>
    <t>SU-744-055-0292</t>
  </si>
  <si>
    <t xml:space="preserve">Surface Cleaning </t>
  </si>
  <si>
    <t>SU-744-055-0293</t>
  </si>
  <si>
    <t>To the rear toe insert</t>
  </si>
  <si>
    <t>SU-744-055-0294</t>
  </si>
  <si>
    <t>Assembly, rear toe</t>
  </si>
  <si>
    <t>SU-744-056</t>
  </si>
  <si>
    <t>SU-744-056-0295</t>
  </si>
  <si>
    <t>Insert-Rear toe tube 
bonding</t>
  </si>
  <si>
    <t>Thermal curing at 110C degrees</t>
  </si>
  <si>
    <t>SU-744-056-0296</t>
  </si>
  <si>
    <t>SU-744-056-0297</t>
  </si>
  <si>
    <t>Up to 2.5 kN</t>
  </si>
  <si>
    <t>SU-744-056-0298</t>
  </si>
  <si>
    <t>Shocks</t>
  </si>
  <si>
    <t>Damper</t>
  </si>
  <si>
    <t>FOX Van RC</t>
  </si>
  <si>
    <t>SU-A-0747</t>
  </si>
  <si>
    <t>SU-747-057</t>
  </si>
  <si>
    <t>Front Springs</t>
  </si>
  <si>
    <t>Hyperco 250lbs 18FS250</t>
  </si>
  <si>
    <t>SU-A-0748</t>
  </si>
  <si>
    <t>SU-748-058</t>
  </si>
  <si>
    <t>SU-748-059</t>
  </si>
  <si>
    <t>Rear Springs</t>
  </si>
  <si>
    <t>Hyperco 350lbs 18FS350</t>
  </si>
  <si>
    <t>Assembling, shocks</t>
  </si>
  <si>
    <t>SU-747-060</t>
  </si>
  <si>
    <t>To the rear springs</t>
  </si>
  <si>
    <t>SU-747-060-0299</t>
  </si>
  <si>
    <t>SU-747-060-0300</t>
  </si>
  <si>
    <t>To the front springs</t>
  </si>
  <si>
    <t>To the damper tabs</t>
  </si>
  <si>
    <t>SU-747-060-0301</t>
  </si>
  <si>
    <t>SU-747-060-0302</t>
  </si>
  <si>
    <t>SU-747-060-0303</t>
  </si>
  <si>
    <t>SU-747-060-0304</t>
  </si>
  <si>
    <t>MS-504-021</t>
  </si>
  <si>
    <t>Polyamide</t>
  </si>
  <si>
    <t>MS-504-021-047</t>
  </si>
  <si>
    <t>MS-504-021-048</t>
  </si>
  <si>
    <t>D8</t>
  </si>
  <si>
    <t>MS-504-021-049</t>
  </si>
  <si>
    <t>Between seat and seat bracket</t>
  </si>
  <si>
    <t>MS-504-021-050</t>
  </si>
  <si>
    <t>To seat fixing hole with fastener</t>
  </si>
  <si>
    <t>MS-504-021-051</t>
  </si>
  <si>
    <t>Fluid breaker</t>
  </si>
  <si>
    <t>EN-226-092</t>
  </si>
  <si>
    <t>0.5mm aluminum</t>
  </si>
  <si>
    <t>EN-226-092-0232</t>
  </si>
  <si>
    <t>EN-226-092-0233</t>
  </si>
  <si>
    <t>EN-226-092-0234</t>
  </si>
  <si>
    <t>Inside of the fuel box</t>
  </si>
  <si>
    <t>Fuel level sensor</t>
  </si>
  <si>
    <t>EN-207-093</t>
  </si>
  <si>
    <t>To the fuel level sensor</t>
  </si>
  <si>
    <t>EN-207-067-0235</t>
  </si>
  <si>
    <t>EN-A-0284</t>
  </si>
  <si>
    <t>EN-284-094</t>
  </si>
  <si>
    <t>EN-284-095</t>
  </si>
  <si>
    <t>EN-284-095-0236</t>
  </si>
  <si>
    <t>EN-245-096</t>
  </si>
  <si>
    <t>EN-245-096-0237</t>
  </si>
  <si>
    <t>EN-245-096-0238</t>
  </si>
  <si>
    <t>EN-245-096-0239</t>
  </si>
  <si>
    <t>To the restrictor</t>
  </si>
  <si>
    <t>EN-245-055-0240</t>
  </si>
  <si>
    <t>To the upper, Intake manifold</t>
  </si>
  <si>
    <t>EN-245-096-0241</t>
  </si>
  <si>
    <t>M4x25</t>
  </si>
  <si>
    <t>EN-245-096-0242</t>
  </si>
  <si>
    <t>M4</t>
  </si>
  <si>
    <t>EN-245-096-0243</t>
  </si>
  <si>
    <t>EN-245-096-0244</t>
  </si>
  <si>
    <t>Upper, Plenum, Intake manifold</t>
  </si>
  <si>
    <t>Clutch mechanism</t>
  </si>
  <si>
    <t>FR-A-0394</t>
  </si>
  <si>
    <t>FR-394-0104</t>
  </si>
  <si>
    <t>Polyamid</t>
  </si>
  <si>
    <t>FR-394-0104-0365</t>
  </si>
  <si>
    <t>FR-394-0104-0366</t>
  </si>
  <si>
    <t>FR-394-0104-0367</t>
  </si>
  <si>
    <t>FR-394-0104-0368</t>
  </si>
  <si>
    <t>FR-394-0104-0369</t>
  </si>
  <si>
    <t>To the clutch wire</t>
  </si>
  <si>
    <t>Clutch wire</t>
  </si>
  <si>
    <t>FR-394-0105</t>
  </si>
  <si>
    <t>Clutch wire bracket</t>
  </si>
  <si>
    <t>FR-394-0106</t>
  </si>
  <si>
    <t>FR-394-0106-0370</t>
  </si>
  <si>
    <t>FR-394-0106-0371</t>
  </si>
  <si>
    <t>FR-394-0106-0372</t>
  </si>
  <si>
    <t>Impact Attenuator</t>
  </si>
  <si>
    <t>MS-A-0512</t>
  </si>
  <si>
    <t>MS-512-022</t>
  </si>
  <si>
    <t>FSAE Standart 
Impact Attenuator</t>
  </si>
  <si>
    <t>To the impact attenuator</t>
  </si>
  <si>
    <t>FR-305-015-0373</t>
  </si>
  <si>
    <t>Engine</t>
  </si>
  <si>
    <t>EN-A-0287</t>
  </si>
  <si>
    <t>EN-287-097</t>
  </si>
  <si>
    <t>To the engine</t>
  </si>
  <si>
    <t>FR-312-022-0374</t>
  </si>
  <si>
    <t>FR-309-042-0376</t>
  </si>
  <si>
    <t>AISI 1020 2 mm</t>
  </si>
  <si>
    <t>Seat mounting tabs</t>
  </si>
  <si>
    <t>Lay out, nose body I 
and II</t>
  </si>
  <si>
    <t>Spray oil-paint(500ml)</t>
  </si>
  <si>
    <t>Filler paint(500ml)</t>
  </si>
  <si>
    <t>Rear wing air foils</t>
  </si>
  <si>
    <t>(BOF) Silicone-free synthetic 
brake fluid</t>
  </si>
  <si>
    <t xml:space="preserve">(BOF) </t>
  </si>
  <si>
    <t>(BOF) Drexler Mechanical limited slip differential version1</t>
  </si>
  <si>
    <t>Tire, Hoosier, R25B 13"-20.5
x 7.0</t>
  </si>
  <si>
    <t>M10X70</t>
  </si>
  <si>
    <t>Honda CBR 600RR
2016</t>
  </si>
  <si>
    <t>0.32x0.32=0.1m2
0.1m2*200tl=20tl</t>
  </si>
  <si>
    <t>AISI 1020</t>
  </si>
  <si>
    <t>M6x25 for the power screw 
nut</t>
  </si>
  <si>
    <t>M6x15 for the potentiometer
mechanism bolt</t>
  </si>
  <si>
    <t>Stainless steel tube 16x1.5mm</t>
  </si>
  <si>
    <t>FR-300-014-0377</t>
  </si>
  <si>
    <t xml:space="preserve">To the Linear Guide </t>
  </si>
  <si>
    <t>25s+tool</t>
  </si>
  <si>
    <t>35tl</t>
  </si>
  <si>
    <t>30tl</t>
  </si>
  <si>
    <t>70tl</t>
  </si>
  <si>
    <t>11tl</t>
  </si>
  <si>
    <t>6061 T6 8mm</t>
  </si>
  <si>
    <t>2472mm^2</t>
  </si>
  <si>
    <t>1310mm^2</t>
  </si>
  <si>
    <t>15grams, 25x70mm</t>
  </si>
  <si>
    <t>36grams, 150x30mm</t>
  </si>
  <si>
    <t>10tl</t>
  </si>
  <si>
    <t>0.19tl/piece</t>
  </si>
  <si>
    <t>0.12tl/piece</t>
  </si>
  <si>
    <t>0.08tl/piece</t>
  </si>
  <si>
    <t>25tl/piece</t>
  </si>
  <si>
    <t>15tl/piece</t>
  </si>
  <si>
    <t>0.28kgx20tl/kg=5.6t/piece</t>
  </si>
  <si>
    <t>FR-362-073-0378</t>
  </si>
  <si>
    <t>FR-362-073-0379</t>
  </si>
  <si>
    <t>FR-362-074-0380</t>
  </si>
  <si>
    <t>FR-362-074-0381</t>
  </si>
  <si>
    <t>1.45kg/piece</t>
  </si>
  <si>
    <t>29200m^3/piece</t>
  </si>
  <si>
    <t>84.18E/m2, 0.1m2</t>
  </si>
  <si>
    <t>70grams</t>
  </si>
  <si>
    <t>Aluminum plate</t>
  </si>
  <si>
    <t>1420mm</t>
  </si>
  <si>
    <t>16820mm</t>
  </si>
  <si>
    <t>FR-357-0107</t>
  </si>
  <si>
    <t>Same processes with brake potentiometer 1</t>
  </si>
  <si>
    <t>7.8meters/piece ,6.5 kg</t>
  </si>
  <si>
    <t>16.32meters/piece,13.34 kg</t>
  </si>
  <si>
    <t>FR-305-083-0382</t>
  </si>
  <si>
    <t>FR-305-083-0383</t>
  </si>
  <si>
    <t>FR-305-083-0384</t>
  </si>
  <si>
    <t>Steel profile(Fixture material lI)</t>
  </si>
  <si>
    <t>Sheet metal(Fixture material I)</t>
  </si>
  <si>
    <t>34.55kg/piece</t>
  </si>
  <si>
    <t>13,376m/piece</t>
  </si>
  <si>
    <t>56.74kg/piece</t>
  </si>
  <si>
    <t>m6x15</t>
  </si>
  <si>
    <t>Hacettepe University</t>
  </si>
  <si>
    <t>Hacettepe Racing</t>
  </si>
  <si>
    <t>35120m^3</t>
  </si>
  <si>
    <t>11.246meters/piece, 10.56kg</t>
  </si>
  <si>
    <t>0.93meter,0.6kg</t>
  </si>
  <si>
    <t>0.72meters,0.6kg</t>
  </si>
  <si>
    <t>Steel tube AISI1020 (19x1)</t>
  </si>
  <si>
    <t>Steel tube S460MC (25.4x1.4)</t>
  </si>
  <si>
    <t>720mm</t>
  </si>
  <si>
    <t>FR-312-022-0385</t>
  </si>
  <si>
    <t>FR-312-022-0386</t>
  </si>
  <si>
    <t>FR-312-022-0387</t>
  </si>
  <si>
    <t>240mm 
22.35tl/meter=5.22E/meter</t>
  </si>
  <si>
    <t>0.333m</t>
  </si>
  <si>
    <t>0.4meter 0.78kg</t>
  </si>
  <si>
    <t>Steel tube AISI 1020 30x35mm</t>
  </si>
  <si>
    <t>2026m^2</t>
  </si>
  <si>
    <t>159.6mm</t>
  </si>
  <si>
    <t>162mm*5mm=810mm^2</t>
  </si>
  <si>
    <t>185mm</t>
  </si>
  <si>
    <t>12310mm^2 laser cut= 3.44Euro
11600mm^2 steel area are,1.36kg= 1.02Euro</t>
  </si>
  <si>
    <t>2240mm^2 laser cut= 0.64Euro
11600mm^2 steel area,0.2kg= 0.15Euro</t>
  </si>
  <si>
    <t>6600mm^2 laser cut= 1.85Euro
124000mm^2 steel area,1.95kg= 1.46Euro</t>
  </si>
  <si>
    <t>113mm*2mm=226mm^2</t>
  </si>
  <si>
    <t>178mm*5mm=890mm^2</t>
  </si>
  <si>
    <t xml:space="preserve">113mm </t>
  </si>
  <si>
    <t>1310mm^2 0.02kg</t>
  </si>
  <si>
    <t>Crimp Tooling</t>
  </si>
  <si>
    <t>EL-400-010-012</t>
  </si>
  <si>
    <t>To Chassis</t>
  </si>
  <si>
    <t>EL-400-010-013</t>
  </si>
  <si>
    <t>EL-400-011</t>
  </si>
  <si>
    <t>RA8875 TFT 
Screen Driver</t>
  </si>
  <si>
    <t>Switcher</t>
  </si>
  <si>
    <t>EL-400-012</t>
  </si>
  <si>
    <t>Molex MX150L 10pin PCB Header</t>
  </si>
  <si>
    <t>EL-400-013</t>
  </si>
  <si>
    <t>Dash Panel Controller Board</t>
  </si>
  <si>
    <t>EL-400-014</t>
  </si>
  <si>
    <t>STM F103 C8 T6 Micro Controller</t>
  </si>
  <si>
    <t>EL-400-015</t>
  </si>
  <si>
    <t xml:space="preserve">MCP 2551 IC </t>
  </si>
  <si>
    <t>EL-400-016</t>
  </si>
  <si>
    <t>MCP 2515 IC</t>
  </si>
  <si>
    <t>EL-400-017</t>
  </si>
  <si>
    <t>Resistor</t>
  </si>
  <si>
    <t>EL-400-018</t>
  </si>
  <si>
    <t>27 PF Capacitor</t>
  </si>
  <si>
    <t>EL-400-019</t>
  </si>
  <si>
    <t>Catalex SD Card Modul</t>
  </si>
  <si>
    <t>EL-400-020</t>
  </si>
  <si>
    <t>Transcent 16GB Class 10 SD Card</t>
  </si>
  <si>
    <t>EL-400-021</t>
  </si>
  <si>
    <t>EL-400-022</t>
  </si>
  <si>
    <t>Cable</t>
  </si>
  <si>
    <t>EL-400-023</t>
  </si>
  <si>
    <t>PVC Cable 2meters</t>
  </si>
  <si>
    <t>Screw Block Connector</t>
  </si>
  <si>
    <t>EL-400-024</t>
  </si>
  <si>
    <t>2,3,8 Pins</t>
  </si>
  <si>
    <t>Red Light Stripe</t>
  </si>
  <si>
    <t>EL-A-0415</t>
  </si>
  <si>
    <t>EL-415-025</t>
  </si>
  <si>
    <t>Red Light Stripe 15cm</t>
  </si>
  <si>
    <t xml:space="preserve">Brake Light </t>
  </si>
  <si>
    <t>EL-415-026</t>
  </si>
  <si>
    <t>Brake Light P/M/F/T</t>
  </si>
  <si>
    <t>EL-415-027</t>
  </si>
  <si>
    <t>PVC</t>
  </si>
  <si>
    <t>PVC Cable 150meters</t>
  </si>
  <si>
    <t>EL-415-027-014</t>
  </si>
  <si>
    <t>Aluminum Plate 20x10meters</t>
  </si>
  <si>
    <t>EL-415-027-015</t>
  </si>
  <si>
    <t>Aluminum Plate</t>
  </si>
  <si>
    <t>EL-415-027-016</t>
  </si>
  <si>
    <t>EL-415-027-017</t>
  </si>
  <si>
    <t>Twist</t>
  </si>
  <si>
    <t>EL-415-027-018</t>
  </si>
  <si>
    <t>EL-415-027-019</t>
  </si>
  <si>
    <t>Crimpe Tooling</t>
  </si>
  <si>
    <t>EL-415-027-020</t>
  </si>
  <si>
    <t>Connector</t>
  </si>
  <si>
    <t>EL-415-028</t>
  </si>
  <si>
    <t xml:space="preserve">Controller Box </t>
  </si>
  <si>
    <t>PVC Controller Box</t>
  </si>
  <si>
    <t>EL-A-0419</t>
  </si>
  <si>
    <t>EL-419-029</t>
  </si>
  <si>
    <t>EL-419-030</t>
  </si>
  <si>
    <t>Voltage Regulator</t>
  </si>
  <si>
    <t>DSN 2596</t>
  </si>
  <si>
    <t>EL-419-031</t>
  </si>
  <si>
    <t>EL-419-032</t>
  </si>
  <si>
    <t>EL-419-033</t>
  </si>
  <si>
    <t>EL-419-033-021</t>
  </si>
  <si>
    <t>Controller Box 
Assembly</t>
  </si>
  <si>
    <t>HüCO Ignition 
Regulator</t>
  </si>
  <si>
    <t>Voltage Regulator 
Board</t>
  </si>
  <si>
    <t>To Controller Box</t>
  </si>
  <si>
    <t>EL-419-033-022</t>
  </si>
  <si>
    <t>Relay Board</t>
  </si>
  <si>
    <t>8 Channels 12V Relay Board</t>
  </si>
  <si>
    <t>EL-419-034</t>
  </si>
  <si>
    <t>EL-419-035</t>
  </si>
  <si>
    <t>Vehicle Controller 
Board</t>
  </si>
  <si>
    <t>Motec M800 ECU</t>
  </si>
  <si>
    <t>EL-419-036</t>
  </si>
  <si>
    <t>Distrubution Board</t>
  </si>
  <si>
    <t>EL-419-037</t>
  </si>
  <si>
    <t>EL-419-037-023</t>
  </si>
  <si>
    <t>Soldering</t>
  </si>
  <si>
    <t>EL-419-037-024</t>
  </si>
  <si>
    <t>Plug</t>
  </si>
  <si>
    <t>Connectors Plugged</t>
  </si>
  <si>
    <t>EL-419-037-025</t>
  </si>
  <si>
    <t>Speed Censor</t>
  </si>
  <si>
    <t>EL-419-038</t>
  </si>
  <si>
    <t>Terminal</t>
  </si>
  <si>
    <t>EL-419-039</t>
  </si>
  <si>
    <t>EL-419-039-026</t>
  </si>
  <si>
    <t>To Connector</t>
  </si>
  <si>
    <t>EL-419-039-027</t>
  </si>
  <si>
    <t>EL-419-040</t>
  </si>
  <si>
    <t>EL-419-041</t>
  </si>
  <si>
    <t>Transistor</t>
  </si>
  <si>
    <t xml:space="preserve">BC 548 Transistor </t>
  </si>
  <si>
    <t>EL-419-042</t>
  </si>
  <si>
    <t>EL-419-043</t>
  </si>
  <si>
    <t>ESP 01 Wifi 
Module</t>
  </si>
  <si>
    <t>Micro Controller</t>
  </si>
  <si>
    <t>EL-419-044</t>
  </si>
  <si>
    <t xml:space="preserve">STM F103 C8 T6 Micro 
Controller </t>
  </si>
  <si>
    <t>8000 Mhz Cyristal</t>
  </si>
  <si>
    <t>EL-419-045</t>
  </si>
  <si>
    <t>IDC Header</t>
  </si>
  <si>
    <t>EL-419-046</t>
  </si>
  <si>
    <t>PCB Header</t>
  </si>
  <si>
    <t>EL-419-047</t>
  </si>
  <si>
    <t>IRLZ 34N Mosfet</t>
  </si>
  <si>
    <t>EL-419-048</t>
  </si>
  <si>
    <t>Printed Circuit Board</t>
  </si>
  <si>
    <t>EL-419-049</t>
  </si>
  <si>
    <t>Harness</t>
  </si>
  <si>
    <t>150 meters PVC/Copper Cable</t>
  </si>
  <si>
    <t>EL-A-0440</t>
  </si>
  <si>
    <t>EL-440-050</t>
  </si>
  <si>
    <t xml:space="preserve">Connector Terminal </t>
  </si>
  <si>
    <t>EL-440-051</t>
  </si>
  <si>
    <t>EL-440-052</t>
  </si>
  <si>
    <t>Connector Terminal 
P/M/F/T</t>
  </si>
  <si>
    <t>Fixing</t>
  </si>
  <si>
    <t>To Convertor</t>
  </si>
  <si>
    <t>EL-440-052-028</t>
  </si>
  <si>
    <t>Crimping</t>
  </si>
  <si>
    <t>EL-440-052-029</t>
  </si>
  <si>
    <t>EL-440-052-030</t>
  </si>
  <si>
    <t>Cable P/M/F/T</t>
  </si>
  <si>
    <t>EL-440-053</t>
  </si>
  <si>
    <t>PVC/Copper Cable (150m)</t>
  </si>
  <si>
    <t>EL-440-053-031</t>
  </si>
  <si>
    <t>Wire Cutting</t>
  </si>
  <si>
    <t>EL-440-053-032</t>
  </si>
  <si>
    <t>Wire Stripping</t>
  </si>
  <si>
    <t>EL-440-053-033</t>
  </si>
  <si>
    <t>Quick Shifter</t>
  </si>
  <si>
    <t>Selenoid</t>
  </si>
  <si>
    <t>EL-A-0444</t>
  </si>
  <si>
    <t>EL-444-054</t>
  </si>
  <si>
    <t>Shift Paddle</t>
  </si>
  <si>
    <t>EL-444-055</t>
  </si>
  <si>
    <t>1,2m^2</t>
  </si>
  <si>
    <t>2hours</t>
  </si>
  <si>
    <t>0,1m^2</t>
  </si>
  <si>
    <t>30minutes</t>
  </si>
  <si>
    <t>0,26m'2</t>
  </si>
  <si>
    <t>8minutes</t>
  </si>
  <si>
    <t>24seconds</t>
  </si>
  <si>
    <t>FR-358-070-0388</t>
  </si>
  <si>
    <t>FR-358-070-0389</t>
  </si>
  <si>
    <t>FR-358-070-0390</t>
  </si>
  <si>
    <t>14minutes</t>
  </si>
  <si>
    <t>2minutes</t>
  </si>
  <si>
    <t>5minutes</t>
  </si>
  <si>
    <t>10minutes</t>
  </si>
  <si>
    <t>40grams</t>
  </si>
  <si>
    <t>1,5meters</t>
  </si>
  <si>
    <t>0,0034m^2</t>
  </si>
  <si>
    <t>30seconds</t>
  </si>
  <si>
    <t>0,33m^2</t>
  </si>
  <si>
    <t>1hour</t>
  </si>
  <si>
    <t>60grams</t>
  </si>
  <si>
    <t>0034m^2</t>
  </si>
  <si>
    <t>1,5m^2</t>
  </si>
  <si>
    <t>5,33minutes</t>
  </si>
  <si>
    <t>FR-309-019-0391</t>
  </si>
  <si>
    <t>5,33hours labour</t>
  </si>
  <si>
    <t>BR-100-010-056</t>
  </si>
  <si>
    <t>BR-100-011-057</t>
  </si>
  <si>
    <t xml:space="preserve">ISR Brake Pads 29-002 </t>
  </si>
  <si>
    <t>BR-106-050</t>
  </si>
  <si>
    <t>M8x30</t>
  </si>
  <si>
    <t>BR-106-050-058</t>
  </si>
  <si>
    <t>Front Calipers M8x30</t>
  </si>
  <si>
    <t>Rear Calipers M8x50</t>
  </si>
  <si>
    <t>BR-106-050-059</t>
  </si>
  <si>
    <t>Fastener Calipers</t>
  </si>
  <si>
    <t>BR-106-050-060</t>
  </si>
  <si>
    <t>BR-106-050-061</t>
  </si>
  <si>
    <t>BR-106-050-062</t>
  </si>
  <si>
    <t>Rear Calipers M8</t>
  </si>
  <si>
    <t xml:space="preserve">2.1mx2, 50cm, 30cm, 5cmx2 </t>
  </si>
  <si>
    <t>55cm</t>
  </si>
  <si>
    <t>Brake Bolt</t>
  </si>
  <si>
    <t>M9x25</t>
  </si>
  <si>
    <t>BR-111-022-063</t>
  </si>
  <si>
    <t>M10x50</t>
  </si>
  <si>
    <t>EN-238-048-0254</t>
  </si>
  <si>
    <t>EN-238-049-0255</t>
  </si>
  <si>
    <t>EN-238-048-0256</t>
  </si>
  <si>
    <t>EN-238-049-0257</t>
  </si>
  <si>
    <t>Coolant Catchcan Tank</t>
  </si>
  <si>
    <t>EN-240-0100</t>
  </si>
  <si>
    <t>Oil Catchcan Tank</t>
  </si>
  <si>
    <t>EN-240-050-0260</t>
  </si>
  <si>
    <t>M8x20</t>
  </si>
  <si>
    <t>EN-240-080-0261</t>
  </si>
  <si>
    <t>EN-240-080-0264</t>
  </si>
  <si>
    <t>Coolant Water</t>
  </si>
  <si>
    <t>EN-271-0104</t>
  </si>
  <si>
    <t>To the Muffler</t>
  </si>
  <si>
    <t>Exhaust Pipe</t>
  </si>
  <si>
    <t>EN-278-0105</t>
  </si>
  <si>
    <t>Bend</t>
  </si>
  <si>
    <t>EN-278-0105-0268</t>
  </si>
  <si>
    <t>EN-278-0105-0269</t>
  </si>
  <si>
    <t>Exhaust Muffler</t>
  </si>
  <si>
    <t>Honda CBR 600 Muffler</t>
  </si>
  <si>
    <t>EN-278-0106</t>
  </si>
  <si>
    <t>EN-278-0106-0270</t>
  </si>
  <si>
    <t>EN-278-0106-0271</t>
  </si>
  <si>
    <t>54cm, 30minutes</t>
  </si>
  <si>
    <t>18cm, 10minutes</t>
  </si>
  <si>
    <t>70 degrees, 15minutes</t>
  </si>
  <si>
    <t>70 degrees, 30minutes</t>
  </si>
  <si>
    <t>M6x10</t>
  </si>
  <si>
    <t>EN-278-0106-0272</t>
  </si>
  <si>
    <t>EN-278-0106-0273</t>
  </si>
  <si>
    <t>To the Pipe</t>
  </si>
  <si>
    <t>EN-278-0106-0274</t>
  </si>
  <si>
    <t>EN-278-0105-0275</t>
  </si>
  <si>
    <t>EN-278-0105-0276</t>
  </si>
  <si>
    <t>EN-278-0105-0277</t>
  </si>
  <si>
    <t>Front Calipers M8</t>
  </si>
  <si>
    <t xml:space="preserve">5mm SS-310 Stainless Steel </t>
  </si>
  <si>
    <t>1 hour</t>
  </si>
  <si>
    <t>EN-238-048-0278</t>
  </si>
  <si>
    <t>Stud Bolt</t>
  </si>
  <si>
    <t>M8x200</t>
  </si>
  <si>
    <t>EN-238-048-0279</t>
  </si>
  <si>
    <t>To the D.M Right (With Stud Bolt)</t>
  </si>
  <si>
    <t>To the differential left bearing</t>
  </si>
  <si>
    <t>&lt;25.4mm</t>
  </si>
  <si>
    <t>EN-238-048-0280</t>
  </si>
  <si>
    <t>EN-238-049-0281</t>
  </si>
  <si>
    <t>&lt;60mm</t>
  </si>
  <si>
    <t>0.1m2</t>
  </si>
  <si>
    <t>Roller thrust bearing d4</t>
  </si>
  <si>
    <t>FR-305-083-0392</t>
  </si>
  <si>
    <t>5 axis Laser Cut</t>
  </si>
  <si>
    <t>Total=10,340mm</t>
  </si>
  <si>
    <t>0,37m^2</t>
  </si>
  <si>
    <t>M6 (DIN 985)</t>
  </si>
  <si>
    <t>M6x20 (DIN 933)</t>
  </si>
  <si>
    <t>FR-309-019-0393</t>
  </si>
  <si>
    <t>FR-309-019-0394</t>
  </si>
  <si>
    <t>at 30 degree C</t>
  </si>
  <si>
    <t>1.66m^2</t>
  </si>
  <si>
    <t>0,25TL/piece</t>
  </si>
  <si>
    <t>M6x20 (DIN 985)</t>
  </si>
  <si>
    <t>FR-309-042-0396</t>
  </si>
  <si>
    <t>FR-309-042-0397</t>
  </si>
  <si>
    <t>8 hours</t>
  </si>
  <si>
    <t>FR-309-042-0398</t>
  </si>
  <si>
    <t>Material weight(wood)=83kgCNC Router machining=75742160</t>
  </si>
  <si>
    <t>1.78TL</t>
  </si>
  <si>
    <t>M12X90 (DIN 912)</t>
  </si>
  <si>
    <t>M12 (DIN 985)</t>
  </si>
  <si>
    <t>M12 (DIN 976) threaded rod</t>
  </si>
  <si>
    <t>Steel tube 19x1.5mm</t>
  </si>
  <si>
    <t>2 side of the tube</t>
  </si>
  <si>
    <t>595.42mm^2x5mm,0.0233kg</t>
  </si>
  <si>
    <t>1309mm^2*1mm,0.01kg</t>
  </si>
  <si>
    <t>80mm^2</t>
  </si>
  <si>
    <t>35mm</t>
  </si>
  <si>
    <t>1830mm^2,0.043kg(total)</t>
  </si>
  <si>
    <t>38mm(total)</t>
  </si>
  <si>
    <t>Material weight(Al)=0.45kgLaser area=1785*1.5=2678</t>
  </si>
  <si>
    <t>970mm^2,0.008kg</t>
  </si>
  <si>
    <t>165mm^2</t>
  </si>
  <si>
    <t>28mm</t>
  </si>
  <si>
    <t>1100.68mm^2*5mm,0.043kg</t>
  </si>
  <si>
    <t>215mm*5mm=1075(avarage)</t>
  </si>
  <si>
    <t>weight(St1020)=0.85kgLaser area=5842*1.5=8763</t>
  </si>
  <si>
    <t>78.84mm(avarage)</t>
  </si>
  <si>
    <t>925mm^2</t>
  </si>
  <si>
    <t>214.5mm*5mm=1072.5m^2</t>
  </si>
  <si>
    <t>86mm</t>
  </si>
  <si>
    <t>Material weight (St1020)=0.18kgLaser area=1251*1.5=1876mm^2</t>
  </si>
  <si>
    <t>912mm^2</t>
  </si>
  <si>
    <t>73.21mm*5mm=866m^2</t>
  </si>
  <si>
    <t>64mm</t>
  </si>
  <si>
    <t>Material weight (St1020)=0.33kgLaser area=2324*1.5=3486</t>
  </si>
  <si>
    <t>33mm</t>
  </si>
  <si>
    <t>120.27mm*3mm=360.81m^2</t>
  </si>
  <si>
    <t>1410mm^2,0.033kg</t>
  </si>
  <si>
    <t>1387mm^2,0.033kg</t>
  </si>
  <si>
    <t>174.14mm*3mm=522.42</t>
  </si>
  <si>
    <t>48mm</t>
  </si>
  <si>
    <t>841mm^2,0.01kg</t>
  </si>
  <si>
    <t>137.49mm*1.5mm=206.2m^2</t>
  </si>
  <si>
    <t>885mm^2,0.01kg</t>
  </si>
  <si>
    <t>152.3mm*1.5mm=228.45m^2</t>
  </si>
  <si>
    <t>46mm</t>
  </si>
  <si>
    <t>0.4m, 0.9kg 1368mm^3=0.025E</t>
  </si>
  <si>
    <t>2 side of the tube(2 setup)</t>
  </si>
  <si>
    <t>160.7mm</t>
  </si>
  <si>
    <t>102.68mm(avarage)</t>
  </si>
  <si>
    <t>0.22m, 0.14kg(avarage)</t>
  </si>
  <si>
    <t>2347mm^2*3mm</t>
  </si>
  <si>
    <t>283.3mm*3mm=849.9mm^2</t>
  </si>
  <si>
    <t>32mm</t>
  </si>
  <si>
    <t>Cut (Manual)</t>
  </si>
  <si>
    <t>37410mm^2*1.5mm,0.17kg</t>
  </si>
  <si>
    <t>42mm(total)</t>
  </si>
  <si>
    <t>0.15tl/piece</t>
  </si>
  <si>
    <t>M6x15 (DIN 933)</t>
  </si>
  <si>
    <t>91 Tubes</t>
  </si>
  <si>
    <t>Total=13.1m</t>
  </si>
  <si>
    <t>5 axis laser cut</t>
  </si>
  <si>
    <t>Total=14.32m91 piece=1.87E*91</t>
  </si>
  <si>
    <t>36mm</t>
  </si>
  <si>
    <t>1110mm^2*3mm,0.01kg</t>
  </si>
  <si>
    <t>157.3mm*3mm=472mm^2</t>
  </si>
  <si>
    <t>34mm</t>
  </si>
  <si>
    <t>1620mm^2(avarage)*3mm,0.038kg</t>
  </si>
  <si>
    <t>192mm(avarage)*3mm=576mm^2</t>
  </si>
  <si>
    <t>50mm</t>
  </si>
  <si>
    <t>422mm^2*8mm,0.01kg</t>
  </si>
  <si>
    <t>149.12*8mm=1192.96mm^2</t>
  </si>
  <si>
    <t>522mm^2,0.013</t>
  </si>
  <si>
    <t>169.12*8=1353mm^2</t>
  </si>
  <si>
    <t>37grams</t>
  </si>
  <si>
    <t>0,07</t>
  </si>
  <si>
    <t>FR-357-0107-0399</t>
  </si>
  <si>
    <t>0,04</t>
  </si>
  <si>
    <t>FR-357-0107-0400</t>
  </si>
  <si>
    <t>To the potentiometer</t>
  </si>
  <si>
    <t>0,65</t>
  </si>
  <si>
    <t>FR-357-0107-0401</t>
  </si>
  <si>
    <t>To the needle bearing(k4x7x7tn)</t>
  </si>
  <si>
    <t>FR-357-0107-0402</t>
  </si>
  <si>
    <t>€ 4,582.09</t>
  </si>
  <si>
    <t>0.1m^2,0.079kg</t>
  </si>
  <si>
    <t>0,1m'2</t>
  </si>
  <si>
    <t>0,2kg</t>
  </si>
  <si>
    <t>M6x25(DIN 933)</t>
  </si>
  <si>
    <t>M6(DIN 985)</t>
  </si>
  <si>
    <t>M6(DIN 125)</t>
  </si>
  <si>
    <t>FR-358-070-0403</t>
  </si>
  <si>
    <t>282976mm^3,0.88kg</t>
  </si>
  <si>
    <t>212275mm^3</t>
  </si>
  <si>
    <t>M10x55(DIN 933)</t>
  </si>
  <si>
    <t>M8x55 (DIN 933)</t>
  </si>
  <si>
    <t>1.37tl/piece</t>
  </si>
  <si>
    <t>0.89tl/piece</t>
  </si>
  <si>
    <t>M10(DIN 985)</t>
  </si>
  <si>
    <t>0.51tl/piece</t>
  </si>
  <si>
    <t>M8(DIN 985)</t>
  </si>
  <si>
    <t>0.24tl/piece</t>
  </si>
  <si>
    <t>246862mm^3,0.77kg</t>
  </si>
  <si>
    <t>192572mm^3</t>
  </si>
  <si>
    <t>M8x55(DIN 933)</t>
  </si>
  <si>
    <t>0.556kg</t>
  </si>
  <si>
    <t>153939mm^3</t>
  </si>
  <si>
    <t>9420mm^2</t>
  </si>
  <si>
    <t>Water and acetone apply</t>
  </si>
  <si>
    <t>0.208m</t>
  </si>
  <si>
    <t>0.144m</t>
  </si>
  <si>
    <t>9424.78mm^3,0.025kg</t>
  </si>
  <si>
    <t>1 piece=0.561Euro</t>
  </si>
  <si>
    <t>1233mm^2</t>
  </si>
  <si>
    <t>SU-702-019-0305</t>
  </si>
  <si>
    <t>1233mm^2(avarage)</t>
  </si>
  <si>
    <t>75 minutes</t>
  </si>
  <si>
    <t>1.794kg</t>
  </si>
  <si>
    <t>547303mm^3</t>
  </si>
  <si>
    <t>90+-37 degrees plies</t>
  </si>
  <si>
    <t>0.196m</t>
  </si>
  <si>
    <t>0.29m</t>
  </si>
  <si>
    <t>SU-702-039-0306</t>
  </si>
  <si>
    <t>3.32kg</t>
  </si>
  <si>
    <t>3131060mm^3</t>
  </si>
  <si>
    <t>Aluminum=0.23kgMilling=214381mm^3</t>
  </si>
  <si>
    <t>M8x25 (DIN 933)</t>
  </si>
  <si>
    <t>0.874tl/piece</t>
  </si>
  <si>
    <t>SU-715-025-0307</t>
  </si>
  <si>
    <t>.412m</t>
  </si>
  <si>
    <t>0.175m</t>
  </si>
  <si>
    <t>M8x40(DIN 933)</t>
  </si>
  <si>
    <t>1.986kg</t>
  </si>
  <si>
    <t>1797000mm^3</t>
  </si>
  <si>
    <t>Aluminum=0.22kgMilling=191780mm^3</t>
  </si>
  <si>
    <t>M8x25(DIN 933)</t>
  </si>
  <si>
    <t>3.2tl/piece</t>
  </si>
  <si>
    <t>1.82kg</t>
  </si>
  <si>
    <t>569979mm^3</t>
  </si>
  <si>
    <t>0.267m</t>
  </si>
  <si>
    <t>0.254m</t>
  </si>
  <si>
    <t>SU-731-044-0308</t>
  </si>
  <si>
    <t>0.464kg</t>
  </si>
  <si>
    <t>123643mm^3</t>
  </si>
  <si>
    <t>SU-731-051-0309</t>
  </si>
  <si>
    <t>0.025kg</t>
  </si>
  <si>
    <t>0.345m</t>
  </si>
  <si>
    <t>M10x40 (DIN 912 )</t>
  </si>
  <si>
    <t>1436mm*5mm=7180mm^2</t>
  </si>
  <si>
    <t>1.436m</t>
  </si>
  <si>
    <t>7.9tl/m, 1.2m</t>
  </si>
  <si>
    <t>0.1tl/piece</t>
  </si>
  <si>
    <t>0.04tl/piece</t>
  </si>
  <si>
    <t>€ 1,468,12</t>
  </si>
  <si>
    <t>72kg+55kg=128kg</t>
  </si>
  <si>
    <t>CNC Router= 71353142mm^3+93455203mm^3</t>
  </si>
  <si>
    <t>To the mold(1,3m^2)</t>
  </si>
  <si>
    <t>(1,3m^2)</t>
  </si>
  <si>
    <t>2.93m</t>
  </si>
  <si>
    <t>(2.2m^2)</t>
  </si>
  <si>
    <t>with 6mm milling cutterFrom 1 piece plate</t>
  </si>
  <si>
    <t>26994mm</t>
  </si>
  <si>
    <t>Vacuum fabric lay down</t>
  </si>
  <si>
    <t>1813mm^2*3mm,0.017kg</t>
  </si>
  <si>
    <t>258mm*3mm=774mm^2</t>
  </si>
  <si>
    <t>562mm^2</t>
  </si>
  <si>
    <t>Clean the wing surface with acetone</t>
  </si>
  <si>
    <t>7252mm^2</t>
  </si>
  <si>
    <t>1813mm^2</t>
  </si>
  <si>
    <t>432mm(avarage)</t>
  </si>
  <si>
    <t>62.83mm</t>
  </si>
  <si>
    <t>6361.7mm^2</t>
  </si>
  <si>
    <t>1531mm^31 piece=0.561Euro</t>
  </si>
  <si>
    <t>0.39tl/piece</t>
  </si>
  <si>
    <t>628.5mm^2(avarage),0.015kg</t>
  </si>
  <si>
    <t>120.27mm*3mm=360.81mm^2</t>
  </si>
  <si>
    <t>5tl/piece</t>
  </si>
  <si>
    <t>3740mm^3</t>
  </si>
  <si>
    <t>30tl/meter ,2.5meters</t>
  </si>
  <si>
    <t>0.043kg</t>
  </si>
  <si>
    <t>328.45m^2</t>
  </si>
  <si>
    <t>Assemble to knuckle</t>
  </si>
  <si>
    <t>Thermal curing (100 Celcius)</t>
  </si>
  <si>
    <t>Spherical Bearing install (d10)</t>
  </si>
  <si>
    <t>Retaining ring install (19x1)</t>
  </si>
  <si>
    <t>To Retaining Ring (46x1.75)</t>
  </si>
  <si>
    <t>To Wheel Bearing(3304 A-2RS1)</t>
  </si>
  <si>
    <t>M8x35</t>
  </si>
  <si>
    <t>Insert pushrod-pullrod tube Bonding</t>
  </si>
  <si>
    <t>To Wheel Bearing(61813-2RS)</t>
  </si>
  <si>
    <t>Rod end install M8</t>
  </si>
  <si>
    <t>186.000 mm^3 1450.8grams</t>
  </si>
  <si>
    <t>Welding Fixture</t>
  </si>
  <si>
    <t>Frame Tubes Assembly</t>
  </si>
  <si>
    <t>FR-305-0108</t>
  </si>
  <si>
    <t>FR-305-0108-0404</t>
  </si>
  <si>
    <t>FR-305-0108-0405</t>
  </si>
  <si>
    <t>Front bulkhead to front side and side support members</t>
  </si>
  <si>
    <t>FR-305-0108-0406</t>
  </si>
  <si>
    <t>Middle lower support members to main hoop</t>
  </si>
  <si>
    <t>FR-305-0108-0407</t>
  </si>
  <si>
    <t>Front hoop to middle lower support member</t>
  </si>
  <si>
    <t>Front side and side support members to front hoop</t>
  </si>
  <si>
    <t>Main hoop to main hoop bracing</t>
  </si>
  <si>
    <t>FR-305-0108-0408</t>
  </si>
  <si>
    <t>Main hoop bracing to rear bulkhead</t>
  </si>
  <si>
    <t>FR-305-0108-0409</t>
  </si>
  <si>
    <t>Rear side members to rear bulkhead</t>
  </si>
  <si>
    <t>FR-305-0108-0410</t>
  </si>
  <si>
    <t>FR-305-0108-0411</t>
  </si>
  <si>
    <t>Main hoop to rear side support members</t>
  </si>
  <si>
    <t>TIG Welding (Frame tubes)</t>
  </si>
  <si>
    <t>Honda CBR 600RR OEM fuel pump</t>
  </si>
  <si>
    <t>Honda CBR 600 RR OEM muffler</t>
  </si>
  <si>
    <t>Honda CBR 600RR OEM Catchcan</t>
  </si>
  <si>
    <t>Coolant Catchcan Tank Assembly</t>
  </si>
  <si>
    <t>EN-240-0108</t>
  </si>
  <si>
    <t>EN-240-0108-0282</t>
  </si>
  <si>
    <t>EN-240-0108-0283</t>
  </si>
  <si>
    <t>EN-240-0108-0284</t>
  </si>
  <si>
    <t>EN-240-0108-0285</t>
  </si>
  <si>
    <t>2 Liters pure water</t>
  </si>
  <si>
    <t>Kormas Fan (12V 300mm)</t>
  </si>
  <si>
    <t>EN-242-0109</t>
  </si>
  <si>
    <t>Radiator fan Process and fastener</t>
  </si>
  <si>
    <t>EN-242-0110</t>
  </si>
  <si>
    <t xml:space="preserve">Radiator fan shield assembly </t>
  </si>
  <si>
    <t>EN-242-0110-0286</t>
  </si>
  <si>
    <t>EN-210-0111</t>
  </si>
  <si>
    <t>EN-210-0111-0287</t>
  </si>
  <si>
    <t>EN-210-0111-0288</t>
  </si>
  <si>
    <t>EN-210-0111-0289</t>
  </si>
  <si>
    <t>To the lef differential mounting</t>
  </si>
  <si>
    <t>EN-210-0111-0290</t>
  </si>
  <si>
    <t>EN-210-0111-0291</t>
  </si>
  <si>
    <t>EN-210-0111-0292</t>
  </si>
  <si>
    <t>EN-210-0111-0293</t>
  </si>
  <si>
    <t>EN-210-0111-0294</t>
  </si>
  <si>
    <t>EN-210-0111-0295</t>
  </si>
  <si>
    <t>Rapid Prototyping</t>
  </si>
  <si>
    <t>Honda CBR 600RR OEM Manifold</t>
  </si>
  <si>
    <t>1 Meter, 60mm diameter</t>
  </si>
  <si>
    <t>600cc IC Engine</t>
  </si>
  <si>
    <t>Open Air Filter</t>
  </si>
  <si>
    <t>ITG conical air filter</t>
  </si>
  <si>
    <t>Bottom,Upper Runner, Intake manifold</t>
  </si>
  <si>
    <t>EN-245-0112</t>
  </si>
  <si>
    <t>EN-245-0112-0296</t>
  </si>
  <si>
    <t>EN-245-0112-0297</t>
  </si>
  <si>
    <t>Fuel line house and mounting plate</t>
  </si>
  <si>
    <t>EN-245-0112-0298</t>
  </si>
  <si>
    <t>EN-245-0112-0299</t>
  </si>
  <si>
    <t>Cutting</t>
  </si>
  <si>
    <t>Cutting tubes with band saw</t>
  </si>
  <si>
    <t>7075 T6 Tube</t>
  </si>
  <si>
    <t>7075 T6 Sheet</t>
  </si>
  <si>
    <t>EN-245-0112-0300</t>
  </si>
  <si>
    <t>Welding tubes and plates</t>
  </si>
  <si>
    <t>EN-245-0113</t>
  </si>
  <si>
    <t>Adhesive Bonding</t>
  </si>
  <si>
    <t>EN-245-0113-0301</t>
  </si>
  <si>
    <t>Intake Manifold Process</t>
  </si>
  <si>
    <t>Bonding upper runner to lower runner with areldite</t>
  </si>
  <si>
    <t>Scatter Shield</t>
  </si>
  <si>
    <t>Honda CBR 600 RR OEM fuel rail</t>
  </si>
  <si>
    <t>Fuel Rail Assembly</t>
  </si>
  <si>
    <t>EN-261-0114</t>
  </si>
  <si>
    <t>EN-261-0114-0302</t>
  </si>
  <si>
    <t>EN-261-0114-0303</t>
  </si>
  <si>
    <t>EN-261-0114-0304</t>
  </si>
  <si>
    <t>FR-300-011-0412</t>
  </si>
  <si>
    <t>Cleaning pedal mounting plate with rasp</t>
  </si>
  <si>
    <t>FR-300-011-0413</t>
  </si>
  <si>
    <t>1.2meters</t>
  </si>
  <si>
    <t xml:space="preserve">Rubber edge strip </t>
  </si>
  <si>
    <t>1.2m2</t>
  </si>
  <si>
    <t>Vacuum Infusion</t>
  </si>
  <si>
    <t>4hours</t>
  </si>
  <si>
    <t>Epoxy Resin and Hardener</t>
  </si>
  <si>
    <t>0,37m^2 (0.46kg)</t>
  </si>
  <si>
    <t>1.66m^2 (2kg)</t>
  </si>
  <si>
    <t>Molding Surface Finish</t>
  </si>
  <si>
    <t>Assemble to chassis</t>
  </si>
  <si>
    <t>FR-309-019-0414</t>
  </si>
  <si>
    <t>FR-309-042-0415</t>
  </si>
  <si>
    <t>50degrees(x2) 40degrees(x2)</t>
  </si>
  <si>
    <t>3 minutes</t>
  </si>
  <si>
    <t>1300mm,20minutes</t>
  </si>
  <si>
    <t>315mm</t>
  </si>
  <si>
    <t>M50</t>
  </si>
  <si>
    <t>EN-240-078-0305</t>
  </si>
  <si>
    <t>EN-240-086-0306</t>
  </si>
  <si>
    <t>25mm</t>
  </si>
  <si>
    <t>Oil Vapor Inlet</t>
  </si>
  <si>
    <t>2465mm</t>
  </si>
  <si>
    <t>EN-271-084-0307</t>
  </si>
  <si>
    <t>694mm</t>
  </si>
  <si>
    <t>EN-271-084-0308</t>
  </si>
  <si>
    <t>EN-271-084-0309</t>
  </si>
  <si>
    <t>Inlet/Outlet Pipe</t>
  </si>
  <si>
    <t>EN-271-0115</t>
  </si>
  <si>
    <t>25.4mm diameter</t>
  </si>
  <si>
    <t>EN-271-0115-0310</t>
  </si>
  <si>
    <t>EN-271-0115-0311</t>
  </si>
  <si>
    <t>25,4mm</t>
  </si>
  <si>
    <t>EN-271-0115-0312</t>
  </si>
  <si>
    <t>EN-271-085-0313</t>
  </si>
  <si>
    <t>EN-271-085-0314</t>
  </si>
  <si>
    <t>EN-271-085-0315</t>
  </si>
  <si>
    <t>EN-271-085-0316</t>
  </si>
  <si>
    <t>Radiator Assembly</t>
  </si>
  <si>
    <t>EN-271-0117</t>
  </si>
  <si>
    <t>EN-271-0117-0318</t>
  </si>
  <si>
    <t>1323mm</t>
  </si>
  <si>
    <t>EN-271-0117-0319</t>
  </si>
  <si>
    <t>EN-271-0117-0320</t>
  </si>
  <si>
    <t>Side Plate 1</t>
  </si>
  <si>
    <t>Side Plate 2</t>
  </si>
  <si>
    <t>EN-271-0118</t>
  </si>
  <si>
    <t>EN-271-0117-0321</t>
  </si>
  <si>
    <t>EN-271-0118-0322</t>
  </si>
  <si>
    <t>EN-271-0118-0323</t>
  </si>
  <si>
    <t>1184mm</t>
  </si>
  <si>
    <t>EN-271-0118-0324</t>
  </si>
  <si>
    <t>EN-271-0118-0325</t>
  </si>
  <si>
    <t>320x270mm(Kale radiator)</t>
  </si>
  <si>
    <t>EN-271-0119</t>
  </si>
  <si>
    <t>800mm</t>
  </si>
  <si>
    <t>EN-271-0119-0326</t>
  </si>
  <si>
    <t>EN-271-0119-0327</t>
  </si>
  <si>
    <t>EN-271-0119-0328</t>
  </si>
  <si>
    <t>Radiator Tank Lower</t>
  </si>
  <si>
    <t>Radiator Tank Upper</t>
  </si>
  <si>
    <t>Radiator Fin</t>
  </si>
  <si>
    <t>EN-271-0120</t>
  </si>
  <si>
    <t>160 degrees</t>
  </si>
  <si>
    <t>EN-271-0120-0329</t>
  </si>
  <si>
    <t>320mm</t>
  </si>
  <si>
    <t>EN-271-0120-0330</t>
  </si>
  <si>
    <t>Water Channels</t>
  </si>
  <si>
    <t>EN-271-0121</t>
  </si>
  <si>
    <t>82mm</t>
  </si>
  <si>
    <t>EN-271-0121-0331</t>
  </si>
  <si>
    <t>To upper and lower tank</t>
  </si>
  <si>
    <t xml:space="preserve">To side plates </t>
  </si>
  <si>
    <t>652mm</t>
  </si>
  <si>
    <t>To a water channel</t>
  </si>
  <si>
    <t>To water channels</t>
  </si>
  <si>
    <t>To upper tank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</si>
</sst>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0\ &quot;TL&quot;;[Red]\-#,##0\ &quot;TL&quot;"/>
    <numFmt numFmtId="8" formatCode="#,##0.00\ &quot;TL&quot;;[Red]\-#,##0.00\ &quot;TL&quot;"/>
    <numFmt numFmtId="164" formatCode="_(&quot;$&quot;* #,##0.00_);_(&quot;$&quot;* \(#,##0.00\);_(&quot;$&quot;* &quot;-&quot;??_);_(@_)"/>
    <numFmt numFmtId="165" formatCode="_(* #,##0.00_);_(* \(#,##0.00\);_(* &quot;-&quot;??_);_(@_)"/>
    <numFmt numFmtId="166" formatCode="&quot;$&quot;#,##0.00"/>
    <numFmt numFmtId="167" formatCode="[$€-2]\ #,##0.00"/>
  </numFmts>
  <fonts count="57">
    <font>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charset val="161"/>
    </font>
    <font>
      <sz val="11"/>
      <color rgb="FF000000"/>
      <name val="Calibri"/>
      <family val="2"/>
    </font>
    <font>
      <sz val="10"/>
      <name val="MS Sans Serif"/>
      <family val="2"/>
    </font>
    <font>
      <sz val="11"/>
      <color indexed="17"/>
      <name val="Calibri"/>
      <family val="2"/>
    </font>
    <font>
      <sz val="11"/>
      <color indexed="8"/>
      <name val="Calibri"/>
      <family val="2"/>
    </font>
    <font>
      <sz val="10"/>
      <name val="Arial"/>
      <family val="2"/>
    </font>
    <font>
      <sz val="10"/>
      <color theme="1"/>
      <name val="Arial"/>
      <family val="2"/>
      <charset val="161"/>
    </font>
    <font>
      <b/>
      <sz val="11"/>
      <color theme="1"/>
      <name val="Arial"/>
      <family val="2"/>
      <charset val="161"/>
    </font>
    <font>
      <b/>
      <sz val="11"/>
      <color theme="1" tint="0.34998626667073579"/>
      <name val="Arial"/>
      <family val="2"/>
      <charset val="161"/>
    </font>
    <font>
      <b/>
      <sz val="10"/>
      <color theme="1" tint="0.34998626667073579"/>
      <name val="Arial"/>
      <family val="2"/>
      <charset val="161"/>
    </font>
    <font>
      <b/>
      <sz val="11"/>
      <name val="Arial"/>
      <family val="2"/>
      <charset val="161"/>
    </font>
    <font>
      <b/>
      <sz val="11"/>
      <color rgb="FFC0C0C0"/>
      <name val="Arial"/>
      <family val="2"/>
      <charset val="161"/>
    </font>
    <font>
      <sz val="11"/>
      <color theme="1"/>
      <name val="Code 2000"/>
    </font>
    <font>
      <i/>
      <sz val="10"/>
      <color theme="1"/>
      <name val="Arial"/>
      <family val="2"/>
      <charset val="161"/>
    </font>
    <font>
      <b/>
      <i/>
      <sz val="10"/>
      <color theme="1" tint="0.34998626667073579"/>
      <name val="Arial"/>
      <family val="2"/>
      <charset val="161"/>
    </font>
    <font>
      <b/>
      <i/>
      <sz val="10"/>
      <color theme="1"/>
      <name val="Arial"/>
      <family val="2"/>
      <charset val="161"/>
    </font>
    <font>
      <b/>
      <i/>
      <sz val="9"/>
      <color theme="1" tint="0.34998626667073579"/>
      <name val="Arial"/>
      <family val="2"/>
      <charset val="161"/>
    </font>
    <font>
      <i/>
      <sz val="9"/>
      <color theme="1"/>
      <name val="Arial"/>
      <family val="2"/>
      <charset val="161"/>
    </font>
    <font>
      <sz val="11"/>
      <name val="Arial"/>
      <family val="2"/>
      <charset val="161"/>
    </font>
    <font>
      <sz val="12"/>
      <color indexed="8"/>
      <name val="Arial"/>
      <family val="2"/>
      <charset val="161"/>
    </font>
    <font>
      <sz val="10"/>
      <color indexed="8"/>
      <name val="Arial"/>
      <family val="2"/>
    </font>
    <font>
      <sz val="11"/>
      <color indexed="8"/>
      <name val="Arial"/>
      <family val="2"/>
      <charset val="161"/>
    </font>
    <font>
      <sz val="9"/>
      <color theme="1"/>
      <name val="Arial"/>
      <family val="2"/>
      <charset val="161"/>
    </font>
    <font>
      <b/>
      <sz val="8"/>
      <color theme="1"/>
      <name val="Arial"/>
      <family val="2"/>
      <charset val="161"/>
    </font>
    <font>
      <b/>
      <sz val="14"/>
      <color theme="1" tint="0.34998626667073579"/>
      <name val="Arial"/>
      <family val="2"/>
      <charset val="161"/>
    </font>
    <font>
      <b/>
      <sz val="12"/>
      <color theme="1" tint="0.34998626667073579"/>
      <name val="Arial"/>
      <family val="2"/>
      <charset val="161"/>
    </font>
    <font>
      <b/>
      <i/>
      <sz val="12"/>
      <color theme="1" tint="0.34998626667073579"/>
      <name val="Arial"/>
      <family val="2"/>
      <charset val="161"/>
    </font>
    <font>
      <i/>
      <sz val="11"/>
      <color theme="1"/>
      <name val="Calibri"/>
      <family val="2"/>
      <charset val="161"/>
      <scheme val="minor"/>
    </font>
    <font>
      <sz val="22"/>
      <color rgb="FFF73547"/>
      <name val="Arial"/>
      <family val="2"/>
      <charset val="161"/>
    </font>
    <font>
      <u val="double"/>
      <sz val="11"/>
      <color theme="1"/>
      <name val="Arial"/>
      <family val="2"/>
      <charset val="161"/>
    </font>
    <font>
      <b/>
      <i/>
      <sz val="11"/>
      <color theme="1"/>
      <name val="Arial"/>
      <family val="2"/>
      <charset val="161"/>
    </font>
    <font>
      <sz val="26.4"/>
      <color rgb="FF2F2F2F"/>
      <name val="Segoe UI Light"/>
      <family val="2"/>
      <charset val="161"/>
    </font>
    <font>
      <sz val="17.600000000000001"/>
      <color rgb="FF2F2F2F"/>
      <name val="Segoe UI"/>
      <family val="2"/>
      <charset val="161"/>
    </font>
    <font>
      <sz val="15.4"/>
      <color rgb="FF2F2F2F"/>
      <name val="Segoe UI"/>
      <family val="2"/>
      <charset val="161"/>
    </font>
    <font>
      <b/>
      <sz val="11"/>
      <color rgb="FF2F2F2F"/>
      <name val="Segoe UI"/>
      <family val="2"/>
      <charset val="161"/>
    </font>
    <font>
      <sz val="11"/>
      <color rgb="FF2F2F2F"/>
      <name val="Segoe UI"/>
      <family val="2"/>
      <charset val="161"/>
    </font>
    <font>
      <b/>
      <sz val="17.600000000000001"/>
      <color rgb="FF2F2F2F"/>
      <name val="Segoe UI"/>
      <family val="2"/>
      <charset val="161"/>
    </font>
    <font>
      <b/>
      <sz val="16"/>
      <color theme="1"/>
      <name val="Calibri"/>
      <family val="2"/>
      <charset val="161"/>
      <scheme val="minor"/>
    </font>
    <font>
      <b/>
      <u/>
      <sz val="11"/>
      <color theme="1"/>
      <name val="Calibri"/>
      <family val="2"/>
      <charset val="161"/>
      <scheme val="minor"/>
    </font>
    <font>
      <sz val="11"/>
      <color theme="1"/>
      <name val="Bell MT"/>
      <family val="1"/>
    </font>
    <font>
      <sz val="12"/>
      <color theme="1"/>
      <name val="Bell MT"/>
      <family val="1"/>
    </font>
    <font>
      <b/>
      <i/>
      <sz val="9"/>
      <color theme="1"/>
      <name val="Arial"/>
      <family val="2"/>
      <charset val="161"/>
    </font>
    <font>
      <b/>
      <sz val="3"/>
      <color theme="0"/>
      <name val="Arial"/>
      <family val="2"/>
      <charset val="161"/>
    </font>
    <font>
      <b/>
      <i/>
      <sz val="3"/>
      <color theme="0"/>
      <name val="Arial"/>
      <family val="2"/>
      <charset val="161"/>
    </font>
    <font>
      <b/>
      <u/>
      <sz val="11"/>
      <color rgb="FF2F2F2F"/>
      <name val="Segoe UI"/>
      <family val="2"/>
      <charset val="161"/>
    </font>
    <font>
      <i/>
      <sz val="10"/>
      <color rgb="FFFFC000"/>
      <name val="Arial"/>
      <family val="2"/>
      <charset val="161"/>
    </font>
    <font>
      <i/>
      <sz val="9"/>
      <color rgb="FFFFC000"/>
      <name val="Arial"/>
      <family val="2"/>
      <charset val="161"/>
    </font>
    <font>
      <sz val="11"/>
      <color rgb="FFFFC000"/>
      <name val="Arial"/>
      <family val="2"/>
      <charset val="161"/>
    </font>
    <font>
      <b/>
      <sz val="14"/>
      <color theme="1"/>
      <name val="Calibri"/>
      <family val="2"/>
      <charset val="161"/>
      <scheme val="minor"/>
    </font>
    <font>
      <b/>
      <sz val="11"/>
      <color rgb="FF000000"/>
      <name val="Arial"/>
      <family val="2"/>
      <charset val="162"/>
    </font>
    <font>
      <sz val="11"/>
      <color theme="0"/>
      <name val="Arial"/>
      <family val="2"/>
      <charset val="161"/>
    </font>
    <font>
      <sz val="10.5"/>
      <color theme="1"/>
      <name val="Arial"/>
      <family val="2"/>
      <charset val="161"/>
    </font>
    <font>
      <sz val="11"/>
      <color theme="1"/>
      <name val="Arial"/>
      <family val="2"/>
      <charset val="162"/>
    </font>
    <font>
      <sz val="10"/>
      <color theme="1"/>
      <name val="Arial"/>
      <family val="2"/>
      <charset val="162"/>
    </font>
  </fonts>
  <fills count="18">
    <fill>
      <patternFill patternType="none"/>
    </fill>
    <fill>
      <patternFill patternType="gray125"/>
    </fill>
    <fill>
      <patternFill patternType="solid">
        <fgColor rgb="FFFFFF66"/>
        <bgColor indexed="64"/>
      </patternFill>
    </fill>
    <fill>
      <patternFill patternType="solid">
        <fgColor rgb="FFC6EFCE"/>
      </patternFill>
    </fill>
    <fill>
      <patternFill patternType="solid">
        <fgColor theme="3" tint="0.59999389629810485"/>
        <bgColor indexed="64"/>
      </patternFill>
    </fill>
    <fill>
      <patternFill patternType="solid">
        <fgColor rgb="FFA9DA74"/>
        <bgColor indexed="64"/>
      </patternFill>
    </fill>
    <fill>
      <patternFill patternType="solid">
        <fgColor rgb="FFFF8F8F"/>
        <bgColor indexed="64"/>
      </patternFill>
    </fill>
    <fill>
      <patternFill patternType="solid">
        <fgColor rgb="FFFF8D3F"/>
        <bgColor indexed="64"/>
      </patternFill>
    </fill>
    <fill>
      <patternFill patternType="solid">
        <fgColor theme="8" tint="0.59999389629810485"/>
        <bgColor indexed="64"/>
      </patternFill>
    </fill>
    <fill>
      <patternFill patternType="solid">
        <fgColor rgb="FFFF9F5D"/>
        <bgColor indexed="64"/>
      </patternFill>
    </fill>
    <fill>
      <patternFill patternType="solid">
        <fgColor rgb="FFA38EBC"/>
        <bgColor indexed="64"/>
      </patternFill>
    </fill>
    <fill>
      <patternFill patternType="solid">
        <fgColor rgb="FFC0C0C0"/>
        <bgColor indexed="64"/>
      </patternFill>
    </fill>
    <fill>
      <patternFill patternType="solid">
        <fgColor theme="0"/>
        <bgColor indexed="64"/>
      </patternFill>
    </fill>
    <fill>
      <patternFill patternType="solid">
        <fgColor indexed="42"/>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66CC"/>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rgb="FFD0D7E5"/>
      </left>
      <right style="thin">
        <color rgb="FFD0D7E5"/>
      </right>
      <top style="thin">
        <color rgb="FFD0D7E5"/>
      </top>
      <bottom style="thin">
        <color rgb="FFD0D7E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22"/>
      </left>
      <right style="thin">
        <color indexed="22"/>
      </right>
      <top style="thin">
        <color indexed="22"/>
      </top>
      <bottom/>
      <diagonal/>
    </border>
    <border>
      <left/>
      <right/>
      <top/>
      <bottom style="thin">
        <color rgb="FFFF0066"/>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tint="-4.9989318521683403E-2"/>
      </left>
      <right/>
      <top style="thick">
        <color theme="0" tint="-4.9989318521683403E-2"/>
      </top>
      <bottom style="thick">
        <color theme="0" tint="-0.24994659260841701"/>
      </bottom>
      <diagonal/>
    </border>
    <border>
      <left/>
      <right/>
      <top style="thick">
        <color theme="0" tint="-4.9989318521683403E-2"/>
      </top>
      <bottom style="thick">
        <color theme="0" tint="-0.24994659260841701"/>
      </bottom>
      <diagonal/>
    </border>
    <border>
      <left/>
      <right style="thick">
        <color theme="0" tint="-0.24994659260841701"/>
      </right>
      <top style="thick">
        <color theme="0" tint="-4.9989318521683403E-2"/>
      </top>
      <bottom style="thick">
        <color theme="0" tint="-0.24994659260841701"/>
      </bottom>
      <diagonal/>
    </border>
  </borders>
  <cellStyleXfs count="13">
    <xf numFmtId="0" fontId="0" fillId="0" borderId="0"/>
    <xf numFmtId="0" fontId="1" fillId="0" borderId="0"/>
    <xf numFmtId="164" fontId="4" fillId="12" borderId="2">
      <alignment vertical="center" wrapText="1"/>
    </xf>
    <xf numFmtId="164" fontId="2" fillId="3" borderId="1">
      <alignment vertical="center" wrapText="1"/>
    </xf>
    <xf numFmtId="0" fontId="1" fillId="0" borderId="0"/>
    <xf numFmtId="0" fontId="5" fillId="0" borderId="0"/>
    <xf numFmtId="0" fontId="6" fillId="13" borderId="0" applyNumberFormat="0" applyBorder="0" applyAlignment="0" applyProtection="0"/>
    <xf numFmtId="165" fontId="7" fillId="0" borderId="0" applyFont="0" applyFill="0" applyBorder="0" applyAlignment="0" applyProtection="0"/>
    <xf numFmtId="165" fontId="8" fillId="0" borderId="0" applyFont="0" applyFill="0" applyBorder="0" applyAlignment="0" applyProtection="0"/>
    <xf numFmtId="164" fontId="7" fillId="0" borderId="0" applyFont="0" applyFill="0" applyBorder="0" applyAlignment="0" applyProtection="0"/>
    <xf numFmtId="0" fontId="8" fillId="0" borderId="0"/>
    <xf numFmtId="166" fontId="4" fillId="0" borderId="2">
      <alignment vertical="center" wrapText="1"/>
    </xf>
    <xf numFmtId="0" fontId="23" fillId="0" borderId="0"/>
  </cellStyleXfs>
  <cellXfs count="485">
    <xf numFmtId="0" fontId="0" fillId="0" borderId="0" xfId="0"/>
    <xf numFmtId="0" fontId="3" fillId="0" borderId="0" xfId="0" applyFont="1" applyAlignment="1">
      <alignment horizontal="center"/>
    </xf>
    <xf numFmtId="0" fontId="9" fillId="0" borderId="0" xfId="0" applyFont="1" applyAlignment="1"/>
    <xf numFmtId="0" fontId="3" fillId="0" borderId="0" xfId="0" applyFont="1"/>
    <xf numFmtId="0" fontId="10" fillId="0" borderId="0" xfId="0" applyFont="1" applyAlignment="1">
      <alignment horizontal="center" wrapText="1"/>
    </xf>
    <xf numFmtId="0" fontId="10" fillId="0" borderId="0" xfId="0" applyFont="1" applyAlignment="1">
      <alignment horizontal="center"/>
    </xf>
    <xf numFmtId="0" fontId="10" fillId="0" borderId="6" xfId="0" applyFont="1" applyBorder="1" applyAlignment="1">
      <alignment horizontal="center"/>
    </xf>
    <xf numFmtId="0" fontId="3" fillId="0" borderId="6" xfId="0" applyFont="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3" fillId="0" borderId="6" xfId="0" applyFont="1" applyBorder="1"/>
    <xf numFmtId="0" fontId="3" fillId="0" borderId="10" xfId="0" applyFont="1" applyBorder="1"/>
    <xf numFmtId="0" fontId="3" fillId="0" borderId="8" xfId="0" applyFont="1" applyBorder="1"/>
    <xf numFmtId="0" fontId="3" fillId="0" borderId="7" xfId="0" applyFont="1" applyBorder="1"/>
    <xf numFmtId="0" fontId="3" fillId="0" borderId="7" xfId="0" applyFont="1" applyBorder="1" applyAlignment="1">
      <alignment horizontal="center"/>
    </xf>
    <xf numFmtId="0" fontId="3" fillId="0" borderId="11" xfId="0" applyFont="1" applyBorder="1"/>
    <xf numFmtId="0" fontId="3" fillId="0" borderId="9" xfId="0" applyFont="1" applyBorder="1"/>
    <xf numFmtId="0" fontId="3" fillId="0" borderId="0" xfId="0" applyFont="1" applyBorder="1" applyAlignment="1">
      <alignment horizontal="left"/>
    </xf>
    <xf numFmtId="0" fontId="3" fillId="0" borderId="0" xfId="0" applyFont="1" applyFill="1" applyAlignment="1">
      <alignment horizontal="center"/>
    </xf>
    <xf numFmtId="0" fontId="3" fillId="4" borderId="0" xfId="0"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10" borderId="0" xfId="0" applyFont="1" applyFill="1" applyAlignment="1">
      <alignment horizontal="center"/>
    </xf>
    <xf numFmtId="0" fontId="3" fillId="9" borderId="0" xfId="0" applyFont="1" applyFill="1" applyAlignment="1">
      <alignment horizontal="center"/>
    </xf>
    <xf numFmtId="0" fontId="3" fillId="2" borderId="0" xfId="0" applyFont="1" applyFill="1" applyAlignment="1">
      <alignment horizontal="center"/>
    </xf>
    <xf numFmtId="0" fontId="3" fillId="8" borderId="0" xfId="0" applyFont="1" applyFill="1" applyAlignment="1">
      <alignment horizontal="center"/>
    </xf>
    <xf numFmtId="0" fontId="3" fillId="11" borderId="0" xfId="0" applyFont="1" applyFill="1" applyAlignment="1">
      <alignment horizontal="center"/>
    </xf>
    <xf numFmtId="0" fontId="13" fillId="0" borderId="0" xfId="0" applyFont="1" applyAlignment="1">
      <alignment horizontal="center"/>
    </xf>
    <xf numFmtId="0" fontId="13" fillId="0" borderId="0" xfId="0" applyFont="1" applyAlignment="1">
      <alignment horizontal="left"/>
    </xf>
    <xf numFmtId="0" fontId="14" fillId="0" borderId="0" xfId="0" applyFont="1" applyAlignment="1">
      <alignment horizontal="left"/>
    </xf>
    <xf numFmtId="0" fontId="3" fillId="4" borderId="0" xfId="0" applyFont="1" applyFill="1" applyAlignment="1">
      <alignment horizontal="left"/>
    </xf>
    <xf numFmtId="0" fontId="3" fillId="0" borderId="0" xfId="0" applyFont="1" applyAlignment="1">
      <alignment horizontal="left"/>
    </xf>
    <xf numFmtId="0" fontId="3" fillId="5" borderId="0" xfId="0" applyFont="1" applyFill="1" applyAlignment="1">
      <alignment horizontal="center"/>
    </xf>
    <xf numFmtId="0" fontId="3" fillId="5" borderId="0" xfId="0" applyFont="1" applyFill="1" applyAlignment="1">
      <alignment horizontal="left"/>
    </xf>
    <xf numFmtId="0" fontId="3" fillId="6" borderId="0" xfId="0" applyFont="1" applyFill="1" applyAlignment="1">
      <alignment horizontal="left"/>
    </xf>
    <xf numFmtId="0" fontId="3" fillId="7" borderId="0" xfId="0" applyFont="1" applyFill="1" applyAlignment="1">
      <alignment horizontal="left"/>
    </xf>
    <xf numFmtId="0" fontId="3" fillId="10" borderId="0" xfId="0" applyFont="1" applyFill="1" applyAlignment="1">
      <alignment horizontal="left"/>
    </xf>
    <xf numFmtId="0" fontId="3" fillId="0" borderId="0" xfId="0" applyFont="1" applyFill="1"/>
    <xf numFmtId="0" fontId="3" fillId="0" borderId="0" xfId="0" applyFont="1" applyFill="1" applyAlignment="1">
      <alignment horizontal="left"/>
    </xf>
    <xf numFmtId="0" fontId="3" fillId="9" borderId="0" xfId="0" applyFont="1" applyFill="1" applyAlignment="1">
      <alignment horizontal="left"/>
    </xf>
    <xf numFmtId="0" fontId="3" fillId="2" borderId="0" xfId="0" applyFont="1" applyFill="1" applyAlignment="1">
      <alignment horizontal="left"/>
    </xf>
    <xf numFmtId="0" fontId="3" fillId="8" borderId="0" xfId="0" applyFont="1" applyFill="1" applyAlignment="1">
      <alignment horizontal="left"/>
    </xf>
    <xf numFmtId="0" fontId="3" fillId="11" borderId="0" xfId="0" applyFont="1" applyFill="1" applyAlignment="1">
      <alignment horizontal="left"/>
    </xf>
    <xf numFmtId="167" fontId="14" fillId="0" borderId="0" xfId="0" applyNumberFormat="1" applyFont="1" applyAlignment="1">
      <alignment horizontal="center" wrapText="1"/>
    </xf>
    <xf numFmtId="167" fontId="3" fillId="0" borderId="0" xfId="0" applyNumberFormat="1" applyFont="1" applyAlignment="1">
      <alignment horizontal="center"/>
    </xf>
    <xf numFmtId="0" fontId="0" fillId="12" borderId="0" xfId="0" applyFill="1"/>
    <xf numFmtId="0" fontId="3" fillId="0" borderId="0" xfId="0" applyFont="1" applyAlignment="1"/>
    <xf numFmtId="0" fontId="3" fillId="0" borderId="0" xfId="0" applyFont="1" applyAlignment="1">
      <alignment horizontal="right"/>
    </xf>
    <xf numFmtId="0" fontId="20" fillId="4" borderId="0" xfId="0" applyFont="1" applyFill="1" applyAlignment="1">
      <alignment horizontal="center"/>
    </xf>
    <xf numFmtId="167" fontId="20" fillId="4" borderId="0" xfId="0" applyNumberFormat="1" applyFont="1" applyFill="1" applyAlignment="1">
      <alignment horizontal="center"/>
    </xf>
    <xf numFmtId="0" fontId="20" fillId="0" borderId="0" xfId="0" applyFont="1" applyAlignment="1">
      <alignment horizontal="center"/>
    </xf>
    <xf numFmtId="167" fontId="20" fillId="0" borderId="0" xfId="0" applyNumberFormat="1" applyFont="1" applyAlignment="1">
      <alignment horizontal="center"/>
    </xf>
    <xf numFmtId="0" fontId="20" fillId="5" borderId="0" xfId="0" applyFont="1" applyFill="1" applyAlignment="1">
      <alignment horizontal="center"/>
    </xf>
    <xf numFmtId="167" fontId="20" fillId="5" borderId="0" xfId="0" applyNumberFormat="1" applyFont="1" applyFill="1" applyAlignment="1">
      <alignment horizontal="center"/>
    </xf>
    <xf numFmtId="0" fontId="20" fillId="6" borderId="0" xfId="0" applyFont="1" applyFill="1" applyAlignment="1">
      <alignment horizontal="center"/>
    </xf>
    <xf numFmtId="167" fontId="20" fillId="6" borderId="0" xfId="0" applyNumberFormat="1" applyFont="1" applyFill="1" applyAlignment="1">
      <alignment horizontal="center"/>
    </xf>
    <xf numFmtId="0" fontId="20" fillId="7" borderId="0" xfId="0" applyFont="1" applyFill="1" applyAlignment="1">
      <alignment horizontal="center"/>
    </xf>
    <xf numFmtId="167" fontId="20" fillId="7" borderId="0" xfId="0" applyNumberFormat="1" applyFont="1" applyFill="1" applyAlignment="1">
      <alignment horizontal="center"/>
    </xf>
    <xf numFmtId="0" fontId="20" fillId="10" borderId="0" xfId="0" applyFont="1" applyFill="1" applyAlignment="1">
      <alignment horizontal="center"/>
    </xf>
    <xf numFmtId="167" fontId="20" fillId="10" borderId="0" xfId="0" applyNumberFormat="1" applyFont="1" applyFill="1" applyAlignment="1">
      <alignment horizontal="center"/>
    </xf>
    <xf numFmtId="0" fontId="20" fillId="0" borderId="0" xfId="0" applyFont="1" applyFill="1" applyAlignment="1">
      <alignment horizontal="center"/>
    </xf>
    <xf numFmtId="167" fontId="20" fillId="0" borderId="0" xfId="0" applyNumberFormat="1" applyFont="1" applyFill="1" applyAlignment="1">
      <alignment horizontal="center"/>
    </xf>
    <xf numFmtId="0" fontId="20" fillId="9" borderId="0" xfId="0" applyFont="1" applyFill="1" applyAlignment="1">
      <alignment horizontal="center"/>
    </xf>
    <xf numFmtId="167" fontId="20" fillId="9" borderId="0" xfId="0" applyNumberFormat="1" applyFont="1" applyFill="1" applyAlignment="1">
      <alignment horizontal="center"/>
    </xf>
    <xf numFmtId="0" fontId="20" fillId="2" borderId="0" xfId="0" applyFont="1" applyFill="1" applyAlignment="1">
      <alignment horizontal="center"/>
    </xf>
    <xf numFmtId="167" fontId="20" fillId="2" borderId="0" xfId="0" applyNumberFormat="1" applyFont="1" applyFill="1" applyAlignment="1">
      <alignment horizontal="center"/>
    </xf>
    <xf numFmtId="0" fontId="20" fillId="8" borderId="0" xfId="0" applyFont="1" applyFill="1" applyAlignment="1">
      <alignment horizontal="center"/>
    </xf>
    <xf numFmtId="167" fontId="20" fillId="8" borderId="0" xfId="0" applyNumberFormat="1" applyFont="1" applyFill="1" applyAlignment="1">
      <alignment horizontal="center"/>
    </xf>
    <xf numFmtId="0" fontId="20" fillId="11" borderId="0" xfId="0" applyFont="1" applyFill="1" applyAlignment="1">
      <alignment horizontal="center"/>
    </xf>
    <xf numFmtId="167" fontId="20" fillId="11" borderId="0" xfId="0" applyNumberFormat="1" applyFont="1" applyFill="1" applyAlignment="1">
      <alignment horizontal="center"/>
    </xf>
    <xf numFmtId="0" fontId="21" fillId="0" borderId="12" xfId="0" applyFont="1" applyFill="1" applyBorder="1" applyAlignment="1" applyProtection="1">
      <alignment wrapText="1"/>
    </xf>
    <xf numFmtId="0" fontId="21" fillId="0" borderId="0" xfId="0" applyFont="1" applyFill="1" applyBorder="1" applyAlignment="1" applyProtection="1">
      <alignment wrapText="1"/>
    </xf>
    <xf numFmtId="0" fontId="21" fillId="16" borderId="0" xfId="0" applyFont="1" applyFill="1" applyBorder="1" applyAlignment="1" applyProtection="1">
      <alignment wrapText="1"/>
    </xf>
    <xf numFmtId="0" fontId="3" fillId="17" borderId="0" xfId="0" applyFont="1" applyFill="1" applyAlignment="1"/>
    <xf numFmtId="0" fontId="21" fillId="0" borderId="0" xfId="0" applyFont="1" applyFill="1" applyBorder="1" applyAlignment="1"/>
    <xf numFmtId="0" fontId="21" fillId="0" borderId="0" xfId="4" applyFont="1" applyFill="1" applyBorder="1" applyAlignment="1" applyProtection="1">
      <alignment wrapText="1"/>
    </xf>
    <xf numFmtId="0" fontId="21" fillId="17" borderId="0" xfId="0" applyFont="1" applyFill="1" applyBorder="1" applyAlignment="1" applyProtection="1">
      <alignment wrapText="1"/>
    </xf>
    <xf numFmtId="0" fontId="21" fillId="0" borderId="0" xfId="0" applyFont="1" applyAlignment="1"/>
    <xf numFmtId="0" fontId="21" fillId="16" borderId="0" xfId="0" applyFont="1" applyFill="1" applyBorder="1" applyAlignment="1"/>
    <xf numFmtId="0" fontId="21" fillId="0" borderId="0" xfId="0" applyFont="1" applyFill="1" applyAlignment="1"/>
    <xf numFmtId="0" fontId="21" fillId="0" borderId="0" xfId="5" applyFont="1" applyFill="1" applyBorder="1" applyAlignment="1" applyProtection="1">
      <alignment wrapText="1"/>
    </xf>
    <xf numFmtId="0" fontId="21" fillId="16" borderId="0" xfId="5" applyFont="1" applyFill="1" applyBorder="1" applyAlignment="1" applyProtection="1">
      <alignment wrapText="1"/>
    </xf>
    <xf numFmtId="0" fontId="21" fillId="12" borderId="0" xfId="0" applyFont="1" applyFill="1" applyBorder="1" applyAlignment="1" applyProtection="1">
      <alignment wrapText="1"/>
    </xf>
    <xf numFmtId="0" fontId="0" fillId="0" borderId="0" xfId="0" applyAlignment="1">
      <alignment horizontal="center"/>
    </xf>
    <xf numFmtId="0" fontId="15" fillId="0" borderId="0" xfId="0" applyNumberFormat="1" applyFont="1" applyAlignment="1">
      <alignment horizontal="center"/>
    </xf>
    <xf numFmtId="0" fontId="3" fillId="0" borderId="0" xfId="0" applyNumberFormat="1" applyFont="1" applyAlignment="1">
      <alignment horizontal="center"/>
    </xf>
    <xf numFmtId="0" fontId="24" fillId="0" borderId="1" xfId="12" applyFont="1" applyFill="1" applyBorder="1" applyAlignment="1">
      <alignment wrapText="1"/>
    </xf>
    <xf numFmtId="0" fontId="24" fillId="0" borderId="12" xfId="12" applyFont="1" applyFill="1" applyBorder="1" applyAlignment="1"/>
    <xf numFmtId="0" fontId="24" fillId="0" borderId="0" xfId="12" applyFont="1" applyFill="1" applyBorder="1" applyAlignment="1"/>
    <xf numFmtId="0" fontId="24" fillId="16" borderId="0" xfId="12" applyFont="1" applyFill="1" applyBorder="1" applyAlignment="1"/>
    <xf numFmtId="0" fontId="3" fillId="17" borderId="0" xfId="0" applyFont="1" applyFill="1" applyBorder="1" applyAlignment="1">
      <alignment horizontal="left"/>
    </xf>
    <xf numFmtId="0" fontId="3" fillId="17" borderId="0" xfId="0" applyFont="1" applyFill="1" applyBorder="1" applyAlignment="1"/>
    <xf numFmtId="0" fontId="24" fillId="0" borderId="0" xfId="12" applyFont="1" applyFill="1" applyBorder="1" applyAlignment="1">
      <alignment horizontal="left"/>
    </xf>
    <xf numFmtId="0" fontId="24" fillId="16" borderId="0" xfId="12" applyFont="1" applyFill="1" applyBorder="1" applyAlignment="1">
      <alignment horizontal="left"/>
    </xf>
    <xf numFmtId="0" fontId="3" fillId="16" borderId="0" xfId="0" applyFont="1" applyFill="1" applyAlignment="1">
      <alignment horizontal="center"/>
    </xf>
    <xf numFmtId="0" fontId="3" fillId="15" borderId="0" xfId="0" applyFont="1" applyFill="1" applyAlignment="1">
      <alignment horizontal="center"/>
    </xf>
    <xf numFmtId="0" fontId="3" fillId="0" borderId="0" xfId="0" applyFont="1" applyBorder="1" applyProtection="1">
      <protection locked="0"/>
    </xf>
    <xf numFmtId="0" fontId="3" fillId="0" borderId="0" xfId="0" applyFont="1" applyBorder="1" applyAlignment="1" applyProtection="1">
      <alignment horizontal="left"/>
      <protection locked="0"/>
    </xf>
    <xf numFmtId="0" fontId="3" fillId="0" borderId="0" xfId="0" applyFont="1" applyBorder="1" applyAlignment="1" applyProtection="1">
      <alignment horizontal="center"/>
      <protection locked="0"/>
    </xf>
    <xf numFmtId="167" fontId="20" fillId="0" borderId="0" xfId="0" applyNumberFormat="1" applyFont="1" applyBorder="1" applyAlignment="1" applyProtection="1">
      <alignment horizontal="center"/>
      <protection locked="0"/>
    </xf>
    <xf numFmtId="0" fontId="16" fillId="0" borderId="0" xfId="0" applyFont="1" applyBorder="1" applyAlignment="1" applyProtection="1">
      <alignment horizontal="left"/>
      <protection locked="0"/>
    </xf>
    <xf numFmtId="0" fontId="3" fillId="0" borderId="0" xfId="0" applyFont="1" applyFill="1" applyBorder="1" applyProtection="1">
      <protection locked="0"/>
    </xf>
    <xf numFmtId="0" fontId="11" fillId="0" borderId="0" xfId="0" applyFont="1" applyBorder="1" applyProtection="1">
      <protection locked="0"/>
    </xf>
    <xf numFmtId="0" fontId="12" fillId="0" borderId="0" xfId="0" applyFont="1" applyBorder="1" applyProtection="1">
      <protection locked="0"/>
    </xf>
    <xf numFmtId="0" fontId="12" fillId="0" borderId="0" xfId="0" applyFont="1" applyBorder="1" applyAlignment="1" applyProtection="1">
      <alignment horizontal="left"/>
      <protection locked="0"/>
    </xf>
    <xf numFmtId="0" fontId="12" fillId="0" borderId="0" xfId="0" applyFont="1" applyBorder="1" applyAlignment="1" applyProtection="1">
      <alignment horizontal="center"/>
      <protection locked="0"/>
    </xf>
    <xf numFmtId="0" fontId="17" fillId="0" borderId="0" xfId="0" applyFont="1" applyBorder="1" applyAlignment="1" applyProtection="1">
      <alignment horizontal="left"/>
      <protection locked="0"/>
    </xf>
    <xf numFmtId="0" fontId="12" fillId="0" borderId="0" xfId="0" applyFont="1" applyFill="1" applyBorder="1" applyProtection="1">
      <protection locked="0"/>
    </xf>
    <xf numFmtId="167" fontId="19" fillId="0" borderId="0" xfId="0" applyNumberFormat="1" applyFont="1" applyBorder="1" applyAlignment="1" applyProtection="1">
      <alignment horizontal="center" wrapText="1"/>
      <protection locked="0"/>
    </xf>
    <xf numFmtId="0" fontId="25" fillId="4" borderId="0" xfId="0" applyFont="1" applyFill="1" applyAlignment="1">
      <alignment horizontal="center"/>
    </xf>
    <xf numFmtId="0" fontId="25" fillId="0" borderId="0" xfId="0" applyFont="1" applyAlignment="1">
      <alignment horizontal="center"/>
    </xf>
    <xf numFmtId="0" fontId="25" fillId="5" borderId="0" xfId="0" applyFont="1" applyFill="1" applyAlignment="1">
      <alignment horizontal="center"/>
    </xf>
    <xf numFmtId="0" fontId="25" fillId="6" borderId="0" xfId="0" applyFont="1" applyFill="1" applyAlignment="1">
      <alignment horizontal="center"/>
    </xf>
    <xf numFmtId="0" fontId="25" fillId="7" borderId="0" xfId="0" applyFont="1" applyFill="1" applyAlignment="1">
      <alignment horizontal="center"/>
    </xf>
    <xf numFmtId="0" fontId="25" fillId="10" borderId="0" xfId="0" applyFont="1" applyFill="1" applyAlignment="1">
      <alignment horizontal="center"/>
    </xf>
    <xf numFmtId="0" fontId="25" fillId="0" borderId="0" xfId="0" applyFont="1" applyFill="1" applyAlignment="1">
      <alignment horizontal="center"/>
    </xf>
    <xf numFmtId="0" fontId="25" fillId="9" borderId="0" xfId="0" applyFont="1" applyFill="1" applyAlignment="1">
      <alignment horizontal="center"/>
    </xf>
    <xf numFmtId="0" fontId="25" fillId="2" borderId="0" xfId="0" applyFont="1" applyFill="1" applyAlignment="1">
      <alignment horizontal="center"/>
    </xf>
    <xf numFmtId="0" fontId="25" fillId="8" borderId="0" xfId="0" applyFont="1" applyFill="1" applyAlignment="1">
      <alignment horizontal="center"/>
    </xf>
    <xf numFmtId="0" fontId="25" fillId="11" borderId="0" xfId="0" applyFont="1" applyFill="1" applyAlignment="1">
      <alignment horizontal="center"/>
    </xf>
    <xf numFmtId="0" fontId="16" fillId="4" borderId="0" xfId="0" applyFont="1" applyFill="1" applyAlignment="1">
      <alignment horizontal="left"/>
    </xf>
    <xf numFmtId="0" fontId="16" fillId="0" borderId="0" xfId="0" applyFont="1" applyAlignment="1">
      <alignment horizontal="left"/>
    </xf>
    <xf numFmtId="0" fontId="16" fillId="5" borderId="0" xfId="0" applyFont="1" applyFill="1" applyAlignment="1">
      <alignment horizontal="left"/>
    </xf>
    <xf numFmtId="0" fontId="16" fillId="6" borderId="0" xfId="0" applyFont="1" applyFill="1" applyAlignment="1">
      <alignment horizontal="left"/>
    </xf>
    <xf numFmtId="0" fontId="16" fillId="7" borderId="0" xfId="0" applyFont="1" applyFill="1" applyAlignment="1">
      <alignment horizontal="left"/>
    </xf>
    <xf numFmtId="0" fontId="16" fillId="10" borderId="0" xfId="0" applyFont="1" applyFill="1" applyAlignment="1">
      <alignment horizontal="left"/>
    </xf>
    <xf numFmtId="0" fontId="16" fillId="0" borderId="0" xfId="0" applyFont="1" applyFill="1" applyAlignment="1">
      <alignment horizontal="left"/>
    </xf>
    <xf numFmtId="0" fontId="16" fillId="9" borderId="0" xfId="0" applyFont="1" applyFill="1" applyAlignment="1">
      <alignment horizontal="left"/>
    </xf>
    <xf numFmtId="0" fontId="16" fillId="2" borderId="0" xfId="0" applyFont="1" applyFill="1" applyAlignment="1">
      <alignment horizontal="left"/>
    </xf>
    <xf numFmtId="0" fontId="16" fillId="8" borderId="0" xfId="0" applyFont="1" applyFill="1" applyAlignment="1">
      <alignment horizontal="left"/>
    </xf>
    <xf numFmtId="0" fontId="16" fillId="11" borderId="0" xfId="0" applyFont="1" applyFill="1" applyAlignment="1">
      <alignment horizontal="left"/>
    </xf>
    <xf numFmtId="0" fontId="28" fillId="0" borderId="0" xfId="0" applyFont="1" applyBorder="1" applyProtection="1">
      <protection locked="0"/>
    </xf>
    <xf numFmtId="0" fontId="28" fillId="0" borderId="0" xfId="0" applyFont="1" applyBorder="1" applyAlignment="1" applyProtection="1">
      <alignment horizontal="center"/>
      <protection locked="0"/>
    </xf>
    <xf numFmtId="167" fontId="29" fillId="0" borderId="0" xfId="0" applyNumberFormat="1" applyFont="1" applyBorder="1" applyAlignment="1" applyProtection="1">
      <alignment horizontal="center"/>
      <protection locked="0"/>
    </xf>
    <xf numFmtId="167" fontId="29" fillId="0" borderId="0" xfId="0" applyNumberFormat="1" applyFont="1" applyBorder="1" applyAlignment="1" applyProtection="1">
      <alignment horizontal="center" wrapText="1"/>
      <protection locked="0"/>
    </xf>
    <xf numFmtId="0" fontId="3" fillId="0" borderId="0" xfId="0" applyFont="1" applyBorder="1" applyProtection="1"/>
    <xf numFmtId="0" fontId="3" fillId="14" borderId="0" xfId="0" applyFont="1" applyFill="1" applyBorder="1" applyProtection="1"/>
    <xf numFmtId="0" fontId="3" fillId="14" borderId="0" xfId="0" applyFont="1" applyFill="1" applyAlignment="1">
      <alignment horizontal="left"/>
    </xf>
    <xf numFmtId="0" fontId="3" fillId="14" borderId="0" xfId="0" applyFont="1" applyFill="1" applyAlignment="1">
      <alignment horizontal="center"/>
    </xf>
    <xf numFmtId="0" fontId="3" fillId="14" borderId="0" xfId="0" applyFont="1" applyFill="1"/>
    <xf numFmtId="0" fontId="10" fillId="14" borderId="0" xfId="0" applyFont="1" applyFill="1" applyAlignment="1">
      <alignment horizontal="center"/>
    </xf>
    <xf numFmtId="0" fontId="10" fillId="14" borderId="0" xfId="0" applyFont="1" applyFill="1"/>
    <xf numFmtId="0" fontId="10" fillId="14" borderId="13" xfId="0" applyFont="1" applyFill="1" applyBorder="1" applyAlignment="1">
      <alignment horizontal="left"/>
    </xf>
    <xf numFmtId="0" fontId="3" fillId="14" borderId="13" xfId="0" applyFont="1" applyFill="1" applyBorder="1"/>
    <xf numFmtId="0" fontId="10" fillId="14" borderId="0" xfId="0" applyFont="1" applyFill="1" applyBorder="1"/>
    <xf numFmtId="0" fontId="3" fillId="14" borderId="0" xfId="0" applyFont="1" applyFill="1" applyBorder="1"/>
    <xf numFmtId="0" fontId="32" fillId="14" borderId="0" xfId="0" applyFont="1" applyFill="1" applyBorder="1"/>
    <xf numFmtId="0" fontId="33" fillId="14" borderId="0" xfId="0" applyFont="1" applyFill="1" applyAlignment="1">
      <alignment horizontal="center"/>
    </xf>
    <xf numFmtId="0" fontId="34" fillId="0" borderId="0" xfId="0" applyFont="1" applyAlignment="1">
      <alignment vertical="center"/>
    </xf>
    <xf numFmtId="0" fontId="0" fillId="0" borderId="0" xfId="0" applyAlignment="1"/>
    <xf numFmtId="0" fontId="35" fillId="0" borderId="0" xfId="0" applyFont="1" applyAlignment="1">
      <alignment vertical="center"/>
    </xf>
    <xf numFmtId="0" fontId="0" fillId="0" borderId="0" xfId="0" applyAlignment="1">
      <alignment horizontal="left" vertical="center"/>
    </xf>
    <xf numFmtId="0" fontId="38" fillId="0" borderId="0" xfId="0" applyFont="1" applyAlignment="1">
      <alignment horizontal="left" vertical="center"/>
    </xf>
    <xf numFmtId="0" fontId="3" fillId="14" borderId="0" xfId="0" applyFont="1" applyFill="1" applyBorder="1" applyAlignment="1">
      <alignment horizontal="left"/>
    </xf>
    <xf numFmtId="0" fontId="10" fillId="14" borderId="0" xfId="0" applyFont="1" applyFill="1" applyBorder="1" applyAlignment="1">
      <alignment horizontal="left"/>
    </xf>
    <xf numFmtId="0" fontId="0" fillId="0" borderId="0" xfId="0" applyAlignment="1">
      <alignment horizontal="left"/>
    </xf>
    <xf numFmtId="0" fontId="40" fillId="2" borderId="0" xfId="0" applyFont="1" applyFill="1" applyAlignment="1">
      <alignment horizontal="center"/>
    </xf>
    <xf numFmtId="0" fontId="0" fillId="2" borderId="0" xfId="0" applyFill="1" applyAlignment="1">
      <alignment horizontal="center"/>
    </xf>
    <xf numFmtId="0" fontId="27" fillId="0" borderId="0" xfId="0" applyFont="1" applyBorder="1" applyProtection="1"/>
    <xf numFmtId="0" fontId="28" fillId="0" borderId="0" xfId="0" applyFont="1" applyBorder="1" applyAlignment="1" applyProtection="1">
      <alignment horizontal="left"/>
    </xf>
    <xf numFmtId="0" fontId="3" fillId="0" borderId="0" xfId="0" applyFont="1" applyBorder="1" applyAlignment="1" applyProtection="1">
      <alignment horizontal="left"/>
    </xf>
    <xf numFmtId="167" fontId="29" fillId="0" borderId="0" xfId="0" applyNumberFormat="1" applyFont="1" applyBorder="1" applyAlignment="1" applyProtection="1">
      <alignment horizontal="center"/>
    </xf>
    <xf numFmtId="0" fontId="3" fillId="0" borderId="0" xfId="0" applyFont="1" applyBorder="1" applyAlignment="1" applyProtection="1">
      <alignment horizontal="center"/>
    </xf>
    <xf numFmtId="167" fontId="20" fillId="0" borderId="0" xfId="0" applyNumberFormat="1" applyFont="1" applyBorder="1" applyAlignment="1" applyProtection="1">
      <alignment horizontal="center"/>
    </xf>
    <xf numFmtId="0" fontId="16" fillId="0" borderId="0" xfId="0" applyFont="1" applyBorder="1" applyAlignment="1" applyProtection="1">
      <alignment horizontal="left"/>
    </xf>
    <xf numFmtId="0" fontId="3" fillId="0" borderId="0" xfId="0" applyFont="1" applyFill="1" applyBorder="1" applyProtection="1"/>
    <xf numFmtId="0" fontId="3" fillId="0" borderId="0" xfId="0" applyFont="1" applyFill="1" applyBorder="1" applyAlignment="1" applyProtection="1">
      <alignment horizontal="left"/>
    </xf>
    <xf numFmtId="0" fontId="3" fillId="0" borderId="0" xfId="0" applyFont="1" applyFill="1" applyBorder="1" applyAlignment="1" applyProtection="1">
      <alignment horizontal="center"/>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xf>
    <xf numFmtId="0" fontId="41" fillId="0" borderId="0" xfId="0" applyFont="1" applyAlignment="1">
      <alignment horizontal="left"/>
    </xf>
    <xf numFmtId="0" fontId="0" fillId="12" borderId="0" xfId="0" applyFill="1" applyAlignment="1" applyProtection="1">
      <alignment horizontal="left"/>
      <protection locked="0"/>
    </xf>
    <xf numFmtId="0" fontId="0" fillId="12" borderId="0" xfId="0" applyFill="1" applyProtection="1">
      <protection locked="0"/>
    </xf>
    <xf numFmtId="0" fontId="42" fillId="12" borderId="0" xfId="0" applyFont="1" applyFill="1"/>
    <xf numFmtId="0" fontId="43" fillId="12" borderId="0" xfId="0" applyFont="1" applyFill="1" applyAlignment="1">
      <alignment horizontal="right"/>
    </xf>
    <xf numFmtId="0" fontId="0" fillId="0" borderId="0" xfId="0" applyProtection="1"/>
    <xf numFmtId="0" fontId="10" fillId="0" borderId="0" xfId="0" applyFont="1" applyFill="1" applyBorder="1" applyAlignment="1" applyProtection="1">
      <alignment vertical="center"/>
    </xf>
    <xf numFmtId="0" fontId="10" fillId="14" borderId="0" xfId="0" applyFont="1" applyFill="1" applyBorder="1" applyAlignment="1" applyProtection="1">
      <alignment vertical="center"/>
    </xf>
    <xf numFmtId="0" fontId="28" fillId="0" borderId="0" xfId="0" applyFont="1" applyFill="1" applyBorder="1" applyAlignment="1" applyProtection="1">
      <alignment horizontal="left"/>
    </xf>
    <xf numFmtId="0" fontId="29" fillId="0" borderId="0" xfId="0" applyFont="1" applyFill="1" applyBorder="1" applyAlignment="1" applyProtection="1">
      <alignment horizontal="center"/>
      <protection locked="0"/>
    </xf>
    <xf numFmtId="167" fontId="29" fillId="0" borderId="0" xfId="0" applyNumberFormat="1" applyFont="1" applyFill="1" applyBorder="1" applyAlignment="1" applyProtection="1">
      <alignment horizontal="center" wrapText="1"/>
      <protection locked="0"/>
    </xf>
    <xf numFmtId="167" fontId="29" fillId="0" borderId="0" xfId="0" applyNumberFormat="1" applyFont="1" applyFill="1" applyBorder="1" applyAlignment="1" applyProtection="1">
      <alignment horizontal="center"/>
    </xf>
    <xf numFmtId="0" fontId="10" fillId="0" borderId="0" xfId="0" applyFont="1" applyBorder="1" applyAlignment="1" applyProtection="1">
      <alignment horizontal="center"/>
      <protection locked="0"/>
    </xf>
    <xf numFmtId="0" fontId="10" fillId="0" borderId="0" xfId="0" applyFont="1" applyBorder="1" applyAlignment="1" applyProtection="1">
      <alignment horizontal="left"/>
      <protection locked="0"/>
    </xf>
    <xf numFmtId="167" fontId="44" fillId="0" borderId="0" xfId="0" applyNumberFormat="1" applyFont="1" applyBorder="1" applyAlignment="1" applyProtection="1">
      <alignment horizontal="center" wrapText="1"/>
      <protection locked="0"/>
    </xf>
    <xf numFmtId="0" fontId="18" fillId="0" borderId="0" xfId="0" applyFont="1" applyBorder="1" applyAlignment="1" applyProtection="1">
      <alignment horizontal="left"/>
      <protection locked="0"/>
    </xf>
    <xf numFmtId="0" fontId="45" fillId="0" borderId="0" xfId="0" applyFont="1" applyBorder="1" applyProtection="1">
      <protection locked="0"/>
    </xf>
    <xf numFmtId="0" fontId="45" fillId="0" borderId="0" xfId="0" applyFont="1" applyBorder="1" applyAlignment="1" applyProtection="1">
      <alignment horizontal="left"/>
      <protection locked="0"/>
    </xf>
    <xf numFmtId="0" fontId="45" fillId="0" borderId="0" xfId="0" applyFont="1" applyBorder="1" applyAlignment="1" applyProtection="1">
      <alignment horizontal="center"/>
      <protection locked="0"/>
    </xf>
    <xf numFmtId="167" fontId="46" fillId="0" borderId="0" xfId="0" applyNumberFormat="1" applyFont="1" applyBorder="1" applyAlignment="1" applyProtection="1">
      <alignment horizontal="center"/>
      <protection locked="0"/>
    </xf>
    <xf numFmtId="0" fontId="47" fillId="0" borderId="0" xfId="0" applyFont="1" applyAlignment="1">
      <alignment horizontal="left" vertical="center"/>
    </xf>
    <xf numFmtId="0" fontId="3"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protection locked="0"/>
    </xf>
    <xf numFmtId="0" fontId="25" fillId="10" borderId="0" xfId="0" applyFont="1" applyFill="1" applyBorder="1" applyAlignment="1" applyProtection="1">
      <alignment horizontal="center"/>
      <protection locked="0"/>
    </xf>
    <xf numFmtId="0" fontId="20" fillId="10" borderId="0" xfId="0" applyFont="1" applyFill="1" applyBorder="1" applyAlignment="1" applyProtection="1">
      <alignment horizontal="center"/>
      <protection locked="0"/>
    </xf>
    <xf numFmtId="167" fontId="20" fillId="10" borderId="0" xfId="0" applyNumberFormat="1" applyFont="1" applyFill="1" applyBorder="1" applyAlignment="1" applyProtection="1">
      <alignment horizontal="center"/>
      <protection locked="0"/>
    </xf>
    <xf numFmtId="0" fontId="16" fillId="10" borderId="0" xfId="0" applyFont="1" applyFill="1" applyBorder="1" applyAlignment="1" applyProtection="1">
      <alignment horizontal="left"/>
      <protection locked="0"/>
    </xf>
    <xf numFmtId="0" fontId="25"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0" fillId="0" borderId="3" xfId="0" applyBorder="1"/>
    <xf numFmtId="0" fontId="0" fillId="0" borderId="4" xfId="0" applyBorder="1"/>
    <xf numFmtId="0" fontId="0" fillId="0" borderId="5" xfId="0" applyBorder="1"/>
    <xf numFmtId="0" fontId="27" fillId="0" borderId="10" xfId="0" applyFont="1" applyBorder="1" applyProtection="1"/>
    <xf numFmtId="0" fontId="0" fillId="0" borderId="14" xfId="0" applyBorder="1"/>
    <xf numFmtId="0" fontId="3" fillId="0" borderId="10" xfId="0" applyFont="1" applyBorder="1" applyProtection="1">
      <protection locked="0"/>
    </xf>
    <xf numFmtId="0" fontId="3" fillId="0" borderId="10" xfId="0" applyFont="1" applyFill="1" applyBorder="1" applyProtection="1">
      <protection locked="0"/>
    </xf>
    <xf numFmtId="0" fontId="0" fillId="0" borderId="10" xfId="0" applyBorder="1"/>
    <xf numFmtId="0" fontId="0" fillId="0" borderId="11" xfId="0" applyBorder="1"/>
    <xf numFmtId="0" fontId="0" fillId="0" borderId="16" xfId="0" applyBorder="1"/>
    <xf numFmtId="0" fontId="48" fillId="0" borderId="0" xfId="0" applyFont="1" applyFill="1" applyBorder="1" applyAlignment="1" applyProtection="1">
      <alignment horizontal="left"/>
      <protection locked="0"/>
    </xf>
    <xf numFmtId="167" fontId="49" fillId="0" borderId="0" xfId="0" applyNumberFormat="1" applyFont="1" applyFill="1" applyBorder="1" applyAlignment="1" applyProtection="1">
      <alignment horizontal="center"/>
      <protection locked="0"/>
    </xf>
    <xf numFmtId="0" fontId="50" fillId="0" borderId="0" xfId="0" applyFont="1" applyFill="1" applyBorder="1" applyAlignment="1" applyProtection="1">
      <alignment horizontal="left"/>
      <protection locked="0"/>
    </xf>
    <xf numFmtId="0" fontId="3" fillId="16" borderId="0" xfId="0" applyFont="1" applyFill="1" applyBorder="1" applyAlignment="1" applyProtection="1">
      <alignment horizontal="left"/>
      <protection locked="0"/>
    </xf>
    <xf numFmtId="0" fontId="25" fillId="16" borderId="0" xfId="0" applyFont="1" applyFill="1" applyBorder="1" applyAlignment="1" applyProtection="1">
      <alignment horizontal="center"/>
      <protection locked="0"/>
    </xf>
    <xf numFmtId="0" fontId="3" fillId="0" borderId="3" xfId="0" applyFont="1" applyFill="1" applyBorder="1" applyAlignment="1" applyProtection="1">
      <alignment horizontal="left"/>
      <protection locked="0"/>
    </xf>
    <xf numFmtId="0" fontId="25" fillId="0" borderId="4" xfId="0" applyFont="1" applyFill="1" applyBorder="1" applyAlignment="1" applyProtection="1">
      <alignment horizontal="center"/>
      <protection locked="0"/>
    </xf>
    <xf numFmtId="0" fontId="25" fillId="16" borderId="4" xfId="0" applyFont="1" applyFill="1" applyBorder="1" applyAlignment="1" applyProtection="1">
      <alignment horizontal="center"/>
      <protection locked="0"/>
    </xf>
    <xf numFmtId="0" fontId="3" fillId="16" borderId="4" xfId="0" applyFont="1" applyFill="1" applyBorder="1" applyAlignment="1" applyProtection="1">
      <alignment horizontal="center"/>
      <protection locked="0"/>
    </xf>
    <xf numFmtId="0" fontId="50" fillId="0" borderId="4" xfId="0" applyFont="1" applyFill="1" applyBorder="1" applyAlignment="1" applyProtection="1">
      <alignment horizontal="left"/>
      <protection locked="0"/>
    </xf>
    <xf numFmtId="0" fontId="20" fillId="0" borderId="4" xfId="0" applyFont="1" applyFill="1" applyBorder="1" applyAlignment="1" applyProtection="1">
      <alignment horizontal="center"/>
      <protection locked="0"/>
    </xf>
    <xf numFmtId="167" fontId="49" fillId="0" borderId="4" xfId="0" applyNumberFormat="1" applyFont="1" applyFill="1" applyBorder="1" applyAlignment="1" applyProtection="1">
      <alignment horizontal="center"/>
      <protection locked="0"/>
    </xf>
    <xf numFmtId="0" fontId="16" fillId="0" borderId="4" xfId="0" applyFont="1" applyFill="1" applyBorder="1" applyAlignment="1" applyProtection="1">
      <alignment horizontal="left"/>
      <protection locked="0"/>
    </xf>
    <xf numFmtId="0" fontId="3" fillId="0" borderId="5" xfId="0" applyFont="1" applyFill="1" applyBorder="1" applyAlignment="1" applyProtection="1">
      <alignment horizontal="left"/>
      <protection locked="0"/>
    </xf>
    <xf numFmtId="0" fontId="3" fillId="16" borderId="10" xfId="0" applyFont="1" applyFill="1" applyBorder="1" applyAlignment="1" applyProtection="1">
      <alignment horizontal="left"/>
      <protection locked="0"/>
    </xf>
    <xf numFmtId="0" fontId="3" fillId="0" borderId="14" xfId="0" applyFont="1" applyFill="1" applyBorder="1" applyAlignment="1" applyProtection="1">
      <alignment horizontal="left"/>
      <protection locked="0"/>
    </xf>
    <xf numFmtId="0" fontId="3" fillId="16" borderId="11" xfId="0" applyFont="1" applyFill="1" applyBorder="1" applyAlignment="1" applyProtection="1">
      <alignment horizontal="left"/>
      <protection locked="0"/>
    </xf>
    <xf numFmtId="0" fontId="25" fillId="16" borderId="15"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3" fillId="0" borderId="15" xfId="0" applyFont="1" applyFill="1" applyBorder="1" applyAlignment="1" applyProtection="1">
      <alignment horizontal="center"/>
      <protection locked="0"/>
    </xf>
    <xf numFmtId="0" fontId="50" fillId="0" borderId="15" xfId="0" applyFont="1" applyFill="1" applyBorder="1" applyAlignment="1" applyProtection="1">
      <alignment horizontal="left"/>
      <protection locked="0"/>
    </xf>
    <xf numFmtId="0" fontId="20" fillId="0" borderId="15" xfId="0" applyFont="1" applyFill="1" applyBorder="1" applyAlignment="1" applyProtection="1">
      <alignment horizontal="center"/>
      <protection locked="0"/>
    </xf>
    <xf numFmtId="167" fontId="49" fillId="0" borderId="15" xfId="0" applyNumberFormat="1" applyFont="1" applyFill="1" applyBorder="1" applyAlignment="1" applyProtection="1">
      <alignment horizontal="center"/>
      <protection locked="0"/>
    </xf>
    <xf numFmtId="0" fontId="48" fillId="0" borderId="15" xfId="0" applyFont="1" applyFill="1" applyBorder="1" applyAlignment="1" applyProtection="1">
      <alignment horizontal="left"/>
      <protection locked="0"/>
    </xf>
    <xf numFmtId="0" fontId="3" fillId="0" borderId="16" xfId="0" applyFont="1" applyFill="1" applyBorder="1" applyAlignment="1" applyProtection="1">
      <alignment horizontal="left"/>
      <protection locked="0"/>
    </xf>
    <xf numFmtId="0" fontId="3" fillId="0" borderId="17" xfId="0" applyFont="1" applyFill="1" applyBorder="1" applyAlignment="1" applyProtection="1">
      <alignment horizontal="left"/>
      <protection locked="0"/>
    </xf>
    <xf numFmtId="0" fontId="25" fillId="0" borderId="18" xfId="0" applyFont="1" applyFill="1" applyBorder="1" applyAlignment="1" applyProtection="1">
      <alignment horizontal="center"/>
      <protection locked="0"/>
    </xf>
    <xf numFmtId="0" fontId="25" fillId="16" borderId="18" xfId="0" applyFont="1" applyFill="1" applyBorder="1" applyAlignment="1" applyProtection="1">
      <alignment horizontal="center"/>
      <protection locked="0"/>
    </xf>
    <xf numFmtId="0" fontId="3" fillId="16" borderId="18" xfId="0" applyFont="1" applyFill="1" applyBorder="1" applyAlignment="1" applyProtection="1">
      <alignment horizontal="center"/>
      <protection locked="0"/>
    </xf>
    <xf numFmtId="0" fontId="50" fillId="0" borderId="18" xfId="0" applyFont="1" applyFill="1" applyBorder="1" applyAlignment="1" applyProtection="1">
      <alignment horizontal="left"/>
      <protection locked="0"/>
    </xf>
    <xf numFmtId="0" fontId="20" fillId="0" borderId="18" xfId="0" applyFont="1" applyFill="1" applyBorder="1" applyAlignment="1" applyProtection="1">
      <alignment horizontal="center"/>
      <protection locked="0"/>
    </xf>
    <xf numFmtId="167" fontId="49" fillId="0" borderId="18" xfId="0" applyNumberFormat="1" applyFont="1" applyFill="1" applyBorder="1" applyAlignment="1" applyProtection="1">
      <alignment horizontal="center"/>
      <protection locked="0"/>
    </xf>
    <xf numFmtId="0" fontId="48" fillId="0" borderId="18" xfId="0" applyFont="1" applyFill="1" applyBorder="1" applyAlignment="1" applyProtection="1">
      <alignment horizontal="left"/>
      <protection locked="0"/>
    </xf>
    <xf numFmtId="0" fontId="3" fillId="0" borderId="19" xfId="0" applyFont="1" applyFill="1" applyBorder="1" applyAlignment="1" applyProtection="1">
      <alignment horizontal="left"/>
      <protection locked="0"/>
    </xf>
    <xf numFmtId="0" fontId="35" fillId="0" borderId="0" xfId="0" applyFont="1" applyAlignment="1">
      <alignment vertical="center" wrapText="1"/>
    </xf>
    <xf numFmtId="0" fontId="10" fillId="16" borderId="0" xfId="0" applyFont="1" applyFill="1" applyBorder="1" applyAlignment="1" applyProtection="1">
      <alignment horizontal="center"/>
      <protection locked="0"/>
    </xf>
    <xf numFmtId="0" fontId="10" fillId="16" borderId="0" xfId="0" applyFont="1" applyFill="1" applyBorder="1" applyAlignment="1" applyProtection="1">
      <alignment horizontal="left"/>
      <protection locked="0"/>
    </xf>
    <xf numFmtId="0" fontId="44" fillId="16" borderId="0" xfId="0" applyFont="1" applyFill="1" applyBorder="1" applyAlignment="1" applyProtection="1">
      <alignment horizontal="center"/>
      <protection locked="0"/>
    </xf>
    <xf numFmtId="167" fontId="44" fillId="16" borderId="0" xfId="0" applyNumberFormat="1" applyFont="1" applyFill="1" applyBorder="1" applyAlignment="1" applyProtection="1">
      <alignment horizontal="center" wrapText="1"/>
      <protection locked="0"/>
    </xf>
    <xf numFmtId="0" fontId="18" fillId="16" borderId="0" xfId="0" applyFont="1" applyFill="1" applyBorder="1" applyAlignment="1" applyProtection="1">
      <alignment horizontal="left"/>
      <protection locked="0"/>
    </xf>
    <xf numFmtId="0" fontId="0" fillId="16" borderId="15" xfId="0" applyFill="1" applyBorder="1"/>
    <xf numFmtId="0" fontId="3" fillId="9" borderId="0" xfId="0" applyFont="1" applyFill="1" applyBorder="1" applyAlignment="1" applyProtection="1">
      <alignment horizontal="center"/>
      <protection locked="0"/>
    </xf>
    <xf numFmtId="0" fontId="3" fillId="9" borderId="0" xfId="0" applyFont="1" applyFill="1" applyBorder="1" applyAlignment="1" applyProtection="1">
      <alignment horizontal="left"/>
      <protection locked="0"/>
    </xf>
    <xf numFmtId="0" fontId="25" fillId="9" borderId="0" xfId="0" applyFont="1" applyFill="1" applyBorder="1" applyAlignment="1" applyProtection="1">
      <alignment horizontal="center"/>
      <protection locked="0"/>
    </xf>
    <xf numFmtId="167" fontId="20" fillId="9" borderId="0" xfId="0" applyNumberFormat="1" applyFont="1" applyFill="1" applyBorder="1" applyAlignment="1" applyProtection="1">
      <alignment horizontal="center"/>
      <protection locked="0"/>
    </xf>
    <xf numFmtId="0" fontId="16" fillId="9" borderId="0" xfId="0" applyFont="1" applyFill="1" applyBorder="1" applyAlignment="1" applyProtection="1">
      <alignment horizontal="left"/>
      <protection locked="0"/>
    </xf>
    <xf numFmtId="0" fontId="3" fillId="0" borderId="0" xfId="0" applyFont="1" applyFill="1" applyBorder="1" applyAlignment="1" applyProtection="1">
      <alignment horizontal="left"/>
      <protection locked="0"/>
    </xf>
    <xf numFmtId="167" fontId="20" fillId="0" borderId="0" xfId="0" applyNumberFormat="1" applyFont="1" applyFill="1" applyBorder="1" applyAlignment="1" applyProtection="1">
      <alignment horizontal="center"/>
      <protection locked="0"/>
    </xf>
    <xf numFmtId="0" fontId="16" fillId="0" borderId="0" xfId="0" applyFont="1" applyFill="1" applyBorder="1" applyAlignment="1" applyProtection="1">
      <alignment horizontal="left"/>
      <protection locked="0"/>
    </xf>
    <xf numFmtId="0" fontId="3" fillId="4" borderId="0" xfId="0" applyFont="1" applyFill="1" applyBorder="1" applyAlignment="1" applyProtection="1">
      <alignment horizontal="center"/>
      <protection locked="0"/>
    </xf>
    <xf numFmtId="0" fontId="3" fillId="4" borderId="0" xfId="0" applyFont="1" applyFill="1" applyBorder="1" applyAlignment="1" applyProtection="1">
      <alignment horizontal="left"/>
      <protection locked="0"/>
    </xf>
    <xf numFmtId="0" fontId="25" fillId="4" borderId="0" xfId="0" applyFont="1" applyFill="1" applyBorder="1" applyAlignment="1" applyProtection="1">
      <alignment horizontal="center"/>
      <protection locked="0"/>
    </xf>
    <xf numFmtId="167" fontId="20" fillId="4" borderId="0" xfId="0" applyNumberFormat="1" applyFont="1" applyFill="1" applyBorder="1" applyAlignment="1" applyProtection="1">
      <alignment horizontal="center"/>
      <protection locked="0"/>
    </xf>
    <xf numFmtId="0" fontId="16" fillId="4" borderId="0" xfId="0" applyFont="1" applyFill="1" applyBorder="1" applyAlignment="1" applyProtection="1">
      <alignment horizontal="left"/>
      <protection locked="0"/>
    </xf>
    <xf numFmtId="0" fontId="25" fillId="0" borderId="0" xfId="0" applyFont="1" applyBorder="1" applyAlignment="1" applyProtection="1">
      <alignment horizontal="center"/>
      <protection locked="0"/>
    </xf>
    <xf numFmtId="0" fontId="3" fillId="12" borderId="0" xfId="0" applyFont="1" applyFill="1" applyBorder="1" applyAlignment="1" applyProtection="1">
      <alignment horizontal="left"/>
      <protection locked="0"/>
    </xf>
    <xf numFmtId="0" fontId="25" fillId="12" borderId="0" xfId="0" applyFont="1" applyFill="1" applyBorder="1" applyAlignment="1" applyProtection="1">
      <alignment horizontal="center"/>
      <protection locked="0"/>
    </xf>
    <xf numFmtId="167" fontId="20" fillId="12" borderId="0" xfId="0" applyNumberFormat="1" applyFont="1" applyFill="1" applyBorder="1" applyAlignment="1" applyProtection="1">
      <alignment horizontal="center"/>
      <protection locked="0"/>
    </xf>
    <xf numFmtId="0" fontId="16" fillId="12" borderId="0" xfId="0" applyFont="1" applyFill="1" applyBorder="1" applyAlignment="1" applyProtection="1">
      <alignment horizontal="left"/>
      <protection locked="0"/>
    </xf>
    <xf numFmtId="0" fontId="3" fillId="5" borderId="0" xfId="0" applyFont="1" applyFill="1" applyBorder="1" applyAlignment="1" applyProtection="1">
      <alignment horizontal="center"/>
      <protection locked="0"/>
    </xf>
    <xf numFmtId="0" fontId="3" fillId="5" borderId="0" xfId="0" applyFont="1" applyFill="1" applyBorder="1" applyAlignment="1" applyProtection="1">
      <alignment horizontal="left"/>
      <protection locked="0"/>
    </xf>
    <xf numFmtId="0" fontId="25" fillId="5" borderId="0" xfId="0" applyFont="1" applyFill="1" applyBorder="1" applyAlignment="1" applyProtection="1">
      <alignment horizontal="center"/>
      <protection locked="0"/>
    </xf>
    <xf numFmtId="167" fontId="20" fillId="5" borderId="0" xfId="0" applyNumberFormat="1" applyFont="1" applyFill="1" applyBorder="1" applyAlignment="1" applyProtection="1">
      <alignment horizontal="center"/>
      <protection locked="0"/>
    </xf>
    <xf numFmtId="0" fontId="16" fillId="5" borderId="0" xfId="0" applyFont="1" applyFill="1" applyBorder="1" applyAlignment="1" applyProtection="1">
      <alignment horizontal="left"/>
      <protection locked="0"/>
    </xf>
    <xf numFmtId="0" fontId="3" fillId="8" borderId="0" xfId="0" applyFont="1" applyFill="1" applyBorder="1" applyAlignment="1" applyProtection="1">
      <alignment horizontal="center"/>
      <protection locked="0"/>
    </xf>
    <xf numFmtId="0" fontId="3" fillId="8" borderId="0" xfId="0" applyFont="1" applyFill="1" applyBorder="1" applyAlignment="1" applyProtection="1">
      <alignment horizontal="left"/>
      <protection locked="0"/>
    </xf>
    <xf numFmtId="0" fontId="25" fillId="8" borderId="0" xfId="0" applyFont="1" applyFill="1" applyBorder="1" applyAlignment="1" applyProtection="1">
      <alignment horizontal="center"/>
      <protection locked="0"/>
    </xf>
    <xf numFmtId="167" fontId="20" fillId="8" borderId="0" xfId="0" applyNumberFormat="1" applyFont="1" applyFill="1" applyBorder="1" applyAlignment="1" applyProtection="1">
      <alignment horizontal="center"/>
      <protection locked="0"/>
    </xf>
    <xf numFmtId="0" fontId="16" fillId="8" borderId="0" xfId="0" applyFont="1" applyFill="1" applyBorder="1" applyAlignment="1" applyProtection="1">
      <alignment horizontal="left"/>
      <protection locked="0"/>
    </xf>
    <xf numFmtId="0" fontId="53" fillId="12" borderId="0" xfId="0" applyFont="1" applyFill="1" applyBorder="1" applyAlignment="1" applyProtection="1">
      <alignment horizontal="left"/>
      <protection locked="0"/>
    </xf>
    <xf numFmtId="0" fontId="3" fillId="6" borderId="0" xfId="0" applyFont="1" applyFill="1" applyBorder="1" applyAlignment="1" applyProtection="1">
      <alignment horizontal="center"/>
      <protection locked="0"/>
    </xf>
    <xf numFmtId="0" fontId="3" fillId="6" borderId="0" xfId="0" applyFont="1" applyFill="1" applyBorder="1" applyAlignment="1" applyProtection="1">
      <alignment horizontal="left"/>
      <protection locked="0"/>
    </xf>
    <xf numFmtId="0" fontId="25" fillId="6" borderId="0" xfId="0" applyFont="1" applyFill="1" applyBorder="1" applyAlignment="1" applyProtection="1">
      <alignment horizontal="center"/>
      <protection locked="0"/>
    </xf>
    <xf numFmtId="167" fontId="20" fillId="6" borderId="0" xfId="0" applyNumberFormat="1" applyFont="1" applyFill="1" applyBorder="1" applyAlignment="1" applyProtection="1">
      <alignment horizontal="center"/>
      <protection locked="0"/>
    </xf>
    <xf numFmtId="0" fontId="16" fillId="6" borderId="0" xfId="0" applyFont="1" applyFill="1" applyBorder="1" applyAlignment="1" applyProtection="1">
      <alignment horizontal="left"/>
      <protection locked="0"/>
    </xf>
    <xf numFmtId="0" fontId="3" fillId="2" borderId="0" xfId="0" applyFont="1" applyFill="1" applyBorder="1" applyAlignment="1" applyProtection="1">
      <alignment horizontal="center"/>
      <protection locked="0"/>
    </xf>
    <xf numFmtId="0" fontId="3" fillId="2" borderId="0" xfId="0" applyFont="1" applyFill="1" applyBorder="1" applyAlignment="1" applyProtection="1">
      <alignment horizontal="left"/>
      <protection locked="0"/>
    </xf>
    <xf numFmtId="0" fontId="25" fillId="2" borderId="0" xfId="0" applyFont="1" applyFill="1" applyBorder="1" applyAlignment="1" applyProtection="1">
      <alignment horizontal="center"/>
      <protection locked="0"/>
    </xf>
    <xf numFmtId="167" fontId="20" fillId="2" borderId="0" xfId="0" applyNumberFormat="1" applyFont="1" applyFill="1" applyBorder="1" applyAlignment="1" applyProtection="1">
      <alignment horizontal="center"/>
      <protection locked="0"/>
    </xf>
    <xf numFmtId="0" fontId="16" fillId="2" borderId="0" xfId="0" applyFont="1" applyFill="1" applyBorder="1" applyAlignment="1" applyProtection="1">
      <alignment horizontal="left"/>
      <protection locked="0"/>
    </xf>
    <xf numFmtId="0" fontId="3" fillId="0" borderId="0" xfId="0" applyFont="1" applyFill="1" applyBorder="1"/>
    <xf numFmtId="0" fontId="3" fillId="2" borderId="0" xfId="0" applyFont="1" applyFill="1" applyBorder="1" applyAlignment="1">
      <alignment horizontal="center"/>
    </xf>
    <xf numFmtId="0" fontId="3" fillId="2" borderId="0" xfId="0" applyFont="1" applyFill="1" applyBorder="1" applyAlignment="1">
      <alignment horizontal="left"/>
    </xf>
    <xf numFmtId="0" fontId="25" fillId="2" borderId="0" xfId="0" applyFont="1" applyFill="1" applyBorder="1" applyAlignment="1">
      <alignment horizontal="center"/>
    </xf>
    <xf numFmtId="167" fontId="20" fillId="2" borderId="0" xfId="0" applyNumberFormat="1" applyFont="1" applyFill="1" applyBorder="1" applyAlignment="1">
      <alignment horizontal="center"/>
    </xf>
    <xf numFmtId="0" fontId="16" fillId="2" borderId="0" xfId="0" applyFont="1" applyFill="1" applyBorder="1" applyAlignment="1">
      <alignment horizontal="left"/>
    </xf>
    <xf numFmtId="0" fontId="3" fillId="0" borderId="0" xfId="0" applyFont="1" applyFill="1" applyBorder="1" applyAlignment="1">
      <alignment horizontal="left"/>
    </xf>
    <xf numFmtId="0" fontId="25" fillId="0" borderId="0" xfId="0" applyFont="1" applyFill="1" applyBorder="1" applyAlignment="1">
      <alignment horizontal="center"/>
    </xf>
    <xf numFmtId="0" fontId="3" fillId="0" borderId="0" xfId="0" applyFont="1" applyFill="1" applyBorder="1" applyAlignment="1">
      <alignment horizontal="center"/>
    </xf>
    <xf numFmtId="167" fontId="20" fillId="0" borderId="0" xfId="0" applyNumberFormat="1" applyFont="1" applyFill="1" applyBorder="1" applyAlignment="1">
      <alignment horizontal="center"/>
    </xf>
    <xf numFmtId="0" fontId="16" fillId="0" borderId="0" xfId="0" applyFont="1" applyFill="1" applyBorder="1" applyAlignment="1">
      <alignment horizontal="left"/>
    </xf>
    <xf numFmtId="0" fontId="3"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25" fillId="0" borderId="0" xfId="0" applyFont="1" applyFill="1" applyBorder="1" applyAlignment="1">
      <alignment horizontal="center" vertical="center"/>
    </xf>
    <xf numFmtId="0" fontId="25"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horizontal="center" vertical="center"/>
      <protection locked="0"/>
    </xf>
    <xf numFmtId="0" fontId="3" fillId="0" borderId="0" xfId="0" applyFont="1" applyFill="1" applyBorder="1" applyAlignment="1">
      <alignment horizontal="left" wrapText="1"/>
    </xf>
    <xf numFmtId="0" fontId="3" fillId="0" borderId="0" xfId="0" applyFont="1" applyFill="1" applyBorder="1" applyAlignment="1">
      <alignment horizontal="center" vertical="center"/>
    </xf>
    <xf numFmtId="0" fontId="20" fillId="0" borderId="0" xfId="0" applyFont="1" applyFill="1" applyBorder="1" applyAlignment="1">
      <alignment horizontal="center" vertical="center"/>
    </xf>
    <xf numFmtId="167" fontId="20" fillId="0" borderId="0" xfId="0" applyNumberFormat="1" applyFont="1" applyFill="1" applyBorder="1" applyAlignment="1">
      <alignment horizontal="center" vertical="center"/>
    </xf>
    <xf numFmtId="0" fontId="16" fillId="0" borderId="0" xfId="0" applyFont="1" applyFill="1" applyBorder="1" applyAlignment="1">
      <alignment horizontal="left" vertical="center"/>
    </xf>
    <xf numFmtId="0" fontId="25" fillId="0" borderId="0" xfId="0" applyFont="1" applyFill="1" applyBorder="1" applyAlignment="1">
      <alignment horizontal="left" vertical="center"/>
    </xf>
    <xf numFmtId="167" fontId="20" fillId="0" borderId="0" xfId="0" applyNumberFormat="1" applyFont="1" applyFill="1" applyBorder="1" applyAlignment="1">
      <alignment horizontal="left" vertical="center"/>
    </xf>
    <xf numFmtId="0" fontId="3" fillId="9" borderId="0" xfId="0" applyFont="1" applyFill="1" applyBorder="1" applyAlignment="1">
      <alignment horizontal="center"/>
    </xf>
    <xf numFmtId="0" fontId="3" fillId="9" borderId="0" xfId="0" applyFont="1" applyFill="1" applyBorder="1" applyAlignment="1">
      <alignment horizontal="left"/>
    </xf>
    <xf numFmtId="0" fontId="25" fillId="9" borderId="0" xfId="0" applyFont="1" applyFill="1" applyBorder="1" applyAlignment="1">
      <alignment horizontal="center"/>
    </xf>
    <xf numFmtId="167" fontId="20" fillId="9" borderId="0" xfId="0" applyNumberFormat="1" applyFont="1" applyFill="1" applyBorder="1" applyAlignment="1">
      <alignment horizontal="center"/>
    </xf>
    <xf numFmtId="0" fontId="16" fillId="9" borderId="0" xfId="0" applyFont="1" applyFill="1" applyBorder="1" applyAlignment="1">
      <alignment horizontal="left"/>
    </xf>
    <xf numFmtId="0" fontId="3" fillId="0" borderId="0" xfId="0" applyFont="1" applyBorder="1" applyAlignment="1" applyProtection="1">
      <alignment horizontal="left" vertical="center"/>
    </xf>
    <xf numFmtId="0" fontId="3" fillId="0" borderId="0" xfId="0" applyFont="1" applyFill="1" applyBorder="1" applyAlignment="1" applyProtection="1">
      <alignment horizontal="left" vertical="center"/>
    </xf>
    <xf numFmtId="0" fontId="12" fillId="0" borderId="0" xfId="0" applyFont="1" applyBorder="1" applyAlignment="1" applyProtection="1">
      <alignment horizontal="left" vertical="center"/>
      <protection locked="0"/>
    </xf>
    <xf numFmtId="0" fontId="3" fillId="0" borderId="0" xfId="0" applyFont="1" applyBorder="1" applyAlignment="1" applyProtection="1">
      <alignment horizontal="left" vertical="center"/>
      <protection locked="0"/>
    </xf>
    <xf numFmtId="0" fontId="3" fillId="4" borderId="0" xfId="0" applyFont="1" applyFill="1" applyBorder="1" applyAlignment="1" applyProtection="1">
      <alignment horizontal="left" vertical="center"/>
      <protection locked="0"/>
    </xf>
    <xf numFmtId="0" fontId="3" fillId="12" borderId="0" xfId="0" applyFont="1" applyFill="1" applyBorder="1" applyAlignment="1" applyProtection="1">
      <alignment horizontal="left" vertical="center"/>
      <protection locked="0"/>
    </xf>
    <xf numFmtId="0" fontId="3" fillId="5"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protection locked="0"/>
    </xf>
    <xf numFmtId="0" fontId="3" fillId="6" borderId="0" xfId="0" applyFont="1" applyFill="1" applyBorder="1" applyAlignment="1" applyProtection="1">
      <alignment horizontal="left" vertical="center"/>
      <protection locked="0"/>
    </xf>
    <xf numFmtId="0" fontId="10" fillId="0" borderId="0" xfId="0" applyFont="1" applyBorder="1" applyAlignment="1" applyProtection="1">
      <alignment horizontal="left" vertical="center"/>
      <protection locked="0"/>
    </xf>
    <xf numFmtId="0" fontId="3" fillId="9" borderId="0" xfId="0" applyFont="1" applyFill="1" applyBorder="1" applyAlignment="1" applyProtection="1">
      <alignment horizontal="left" vertical="center"/>
      <protection locked="0"/>
    </xf>
    <xf numFmtId="0" fontId="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 fillId="9" borderId="0" xfId="0" applyFont="1" applyFill="1" applyBorder="1" applyAlignment="1">
      <alignment horizontal="left" vertical="center"/>
    </xf>
    <xf numFmtId="0" fontId="3" fillId="0" borderId="0" xfId="0" applyFont="1" applyBorder="1" applyAlignment="1" applyProtection="1">
      <alignment vertical="center"/>
      <protection locked="0"/>
    </xf>
    <xf numFmtId="0" fontId="3" fillId="2" borderId="0" xfId="0" applyFont="1" applyFill="1" applyBorder="1" applyAlignment="1" applyProtection="1">
      <alignment horizontal="left" vertical="center"/>
      <protection locked="0"/>
    </xf>
    <xf numFmtId="0" fontId="3" fillId="2" borderId="0" xfId="0" applyFont="1" applyFill="1" applyBorder="1" applyAlignment="1">
      <alignment horizontal="left" vertical="center"/>
    </xf>
    <xf numFmtId="0" fontId="28" fillId="0" borderId="0" xfId="0" applyFont="1" applyBorder="1" applyAlignment="1" applyProtection="1">
      <alignment horizontal="left" vertical="center"/>
      <protection locked="0"/>
    </xf>
    <xf numFmtId="0" fontId="3" fillId="8" borderId="0" xfId="0" applyFont="1" applyFill="1" applyBorder="1" applyAlignment="1" applyProtection="1">
      <alignment horizontal="left" vertical="center"/>
      <protection locked="0"/>
    </xf>
    <xf numFmtId="0" fontId="45" fillId="0" borderId="0" xfId="0" applyFont="1" applyBorder="1" applyAlignment="1" applyProtection="1">
      <alignment horizontal="left" vertical="center"/>
      <protection locked="0"/>
    </xf>
    <xf numFmtId="0" fontId="10" fillId="0" borderId="0" xfId="0" applyFont="1" applyFill="1" applyBorder="1" applyAlignment="1" applyProtection="1">
      <alignment horizontal="left" vertical="center"/>
    </xf>
    <xf numFmtId="0" fontId="55" fillId="0" borderId="0" xfId="0" applyFont="1" applyFill="1" applyBorder="1" applyAlignment="1">
      <alignment horizontal="left" vertical="center"/>
    </xf>
    <xf numFmtId="0" fontId="54" fillId="0" borderId="0" xfId="0" applyFont="1" applyFill="1" applyBorder="1" applyAlignment="1" applyProtection="1">
      <alignment horizontal="left" vertical="center" wrapText="1"/>
      <protection locked="0"/>
    </xf>
    <xf numFmtId="0" fontId="3" fillId="10" borderId="0" xfId="0" applyFont="1" applyFill="1" applyBorder="1" applyAlignment="1">
      <alignment horizontal="center"/>
    </xf>
    <xf numFmtId="0" fontId="3" fillId="10" borderId="0" xfId="0" applyFont="1" applyFill="1" applyBorder="1" applyAlignment="1">
      <alignment horizontal="left"/>
    </xf>
    <xf numFmtId="0" fontId="25" fillId="10" borderId="0" xfId="0" applyFont="1" applyFill="1" applyBorder="1" applyAlignment="1">
      <alignment horizontal="center"/>
    </xf>
    <xf numFmtId="167" fontId="20" fillId="10" borderId="0" xfId="0" applyNumberFormat="1" applyFont="1" applyFill="1" applyBorder="1" applyAlignment="1">
      <alignment horizontal="center"/>
    </xf>
    <xf numFmtId="0" fontId="16" fillId="10" borderId="0" xfId="0" applyFont="1" applyFill="1" applyBorder="1" applyAlignment="1">
      <alignment horizontal="left"/>
    </xf>
    <xf numFmtId="0" fontId="3" fillId="0" borderId="0" xfId="0" applyFont="1" applyBorder="1" applyAlignment="1" applyProtection="1">
      <alignment horizontal="left" vertical="center" wrapText="1"/>
      <protection locked="0"/>
    </xf>
    <xf numFmtId="0" fontId="3" fillId="8" borderId="0" xfId="0" applyFont="1" applyFill="1" applyBorder="1" applyAlignment="1">
      <alignment horizontal="center"/>
    </xf>
    <xf numFmtId="0" fontId="3" fillId="8" borderId="0" xfId="0" applyFont="1" applyFill="1" applyBorder="1" applyAlignment="1">
      <alignment horizontal="left"/>
    </xf>
    <xf numFmtId="0" fontId="25" fillId="8" borderId="0" xfId="0" applyFont="1" applyFill="1" applyBorder="1" applyAlignment="1">
      <alignment horizontal="center"/>
    </xf>
    <xf numFmtId="167" fontId="20" fillId="8" borderId="0" xfId="0" applyNumberFormat="1" applyFont="1" applyFill="1" applyBorder="1" applyAlignment="1">
      <alignment horizontal="center"/>
    </xf>
    <xf numFmtId="0" fontId="16" fillId="8" borderId="0" xfId="0" applyFont="1" applyFill="1" applyBorder="1" applyAlignment="1">
      <alignment horizontal="left"/>
    </xf>
    <xf numFmtId="0" fontId="3" fillId="0" borderId="0" xfId="0" applyFont="1" applyBorder="1"/>
    <xf numFmtId="0" fontId="3" fillId="6" borderId="0" xfId="0" applyFont="1" applyFill="1" applyBorder="1" applyAlignment="1">
      <alignment horizontal="center"/>
    </xf>
    <xf numFmtId="0" fontId="3" fillId="6" borderId="0" xfId="0" applyFont="1" applyFill="1" applyBorder="1" applyAlignment="1">
      <alignment horizontal="left"/>
    </xf>
    <xf numFmtId="0" fontId="25" fillId="6" borderId="0" xfId="0" applyFont="1" applyFill="1" applyBorder="1" applyAlignment="1">
      <alignment horizontal="center"/>
    </xf>
    <xf numFmtId="167" fontId="20" fillId="6" borderId="0" xfId="0" applyNumberFormat="1" applyFont="1" applyFill="1" applyBorder="1" applyAlignment="1">
      <alignment horizontal="center"/>
    </xf>
    <xf numFmtId="0" fontId="16" fillId="6" borderId="0" xfId="0" applyFont="1" applyFill="1" applyBorder="1" applyAlignment="1">
      <alignment horizontal="left"/>
    </xf>
    <xf numFmtId="0" fontId="25" fillId="0" borderId="0" xfId="0" applyFont="1" applyBorder="1" applyAlignment="1">
      <alignment horizontal="center"/>
    </xf>
    <xf numFmtId="167" fontId="20" fillId="0" borderId="0" xfId="0" applyNumberFormat="1" applyFont="1" applyBorder="1" applyAlignment="1">
      <alignment horizontal="center"/>
    </xf>
    <xf numFmtId="0" fontId="16" fillId="0" borderId="0" xfId="0" applyFont="1" applyBorder="1" applyAlignment="1">
      <alignment horizontal="left"/>
    </xf>
    <xf numFmtId="0" fontId="3" fillId="6" borderId="0" xfId="0" applyFont="1" applyFill="1" applyBorder="1" applyAlignment="1">
      <alignment horizontal="left" wrapText="1"/>
    </xf>
    <xf numFmtId="0" fontId="3" fillId="6" borderId="0" xfId="0" applyFont="1" applyFill="1" applyBorder="1" applyAlignment="1">
      <alignment horizontal="left" vertical="center"/>
    </xf>
    <xf numFmtId="0" fontId="3" fillId="0" borderId="0" xfId="0" applyFont="1" applyBorder="1" applyAlignment="1">
      <alignment horizontal="left" wrapText="1"/>
    </xf>
    <xf numFmtId="0" fontId="3" fillId="0" borderId="0" xfId="0" applyFont="1" applyBorder="1" applyAlignment="1">
      <alignment vertical="center"/>
    </xf>
    <xf numFmtId="0" fontId="3" fillId="6" borderId="0" xfId="0" applyFont="1" applyFill="1" applyBorder="1" applyAlignment="1">
      <alignment horizontal="center" vertical="center"/>
    </xf>
    <xf numFmtId="0" fontId="3" fillId="0" borderId="0" xfId="0" applyFont="1" applyFill="1" applyBorder="1" applyAlignment="1" applyProtection="1">
      <alignment vertical="center"/>
      <protection locked="0"/>
    </xf>
    <xf numFmtId="0" fontId="3" fillId="0" borderId="0" xfId="0" applyFont="1" applyBorder="1" applyAlignment="1">
      <alignment horizontal="left" vertical="center"/>
    </xf>
    <xf numFmtId="0" fontId="3" fillId="0" borderId="0" xfId="0" applyFont="1" applyBorder="1" applyAlignment="1">
      <alignment horizontal="left" vertical="center" wrapText="1"/>
    </xf>
    <xf numFmtId="0" fontId="25" fillId="0" borderId="0" xfId="0" applyFont="1" applyBorder="1" applyAlignment="1">
      <alignment horizontal="center" vertical="center"/>
    </xf>
    <xf numFmtId="0" fontId="20" fillId="0" borderId="0" xfId="0" applyFont="1" applyBorder="1" applyAlignment="1">
      <alignment horizontal="center" vertical="center"/>
    </xf>
    <xf numFmtId="167" fontId="20" fillId="0" borderId="0" xfId="0" applyNumberFormat="1" applyFont="1" applyBorder="1" applyAlignment="1">
      <alignment horizontal="center" vertical="center"/>
    </xf>
    <xf numFmtId="0" fontId="16" fillId="0" borderId="0" xfId="0" applyFont="1" applyBorder="1" applyAlignment="1">
      <alignment horizontal="left" vertical="center"/>
    </xf>
    <xf numFmtId="0" fontId="3" fillId="0" borderId="0" xfId="0" applyFont="1" applyBorder="1" applyAlignment="1" applyProtection="1">
      <alignment horizontal="left" wrapText="1"/>
      <protection locked="0"/>
    </xf>
    <xf numFmtId="0" fontId="3" fillId="5" borderId="0" xfId="0" applyFont="1" applyFill="1" applyBorder="1" applyAlignment="1">
      <alignment horizontal="center"/>
    </xf>
    <xf numFmtId="0" fontId="3" fillId="5" borderId="0" xfId="0" applyFont="1" applyFill="1" applyBorder="1" applyAlignment="1">
      <alignment horizontal="left"/>
    </xf>
    <xf numFmtId="0" fontId="25" fillId="5" borderId="0" xfId="0" applyFont="1" applyFill="1" applyBorder="1" applyAlignment="1">
      <alignment horizontal="center"/>
    </xf>
    <xf numFmtId="167" fontId="20" fillId="5" borderId="0" xfId="0" applyNumberFormat="1" applyFont="1" applyFill="1" applyBorder="1" applyAlignment="1">
      <alignment horizontal="center"/>
    </xf>
    <xf numFmtId="0" fontId="16" fillId="5" borderId="0" xfId="0" applyFont="1" applyFill="1" applyBorder="1" applyAlignment="1">
      <alignment horizontal="left"/>
    </xf>
    <xf numFmtId="0" fontId="25" fillId="0" borderId="0" xfId="0" applyFont="1" applyBorder="1" applyAlignment="1" applyProtection="1">
      <alignment horizontal="center" vertical="center"/>
      <protection locked="0"/>
    </xf>
    <xf numFmtId="0" fontId="3" fillId="12" borderId="0" xfId="0" applyFont="1" applyFill="1" applyBorder="1" applyAlignment="1" applyProtection="1">
      <alignment horizontal="left" wrapText="1"/>
      <protection locked="0"/>
    </xf>
    <xf numFmtId="0" fontId="25" fillId="12" borderId="0" xfId="0" applyFont="1" applyFill="1" applyBorder="1" applyAlignment="1" applyProtection="1">
      <alignment horizontal="center" vertical="center"/>
      <protection locked="0"/>
    </xf>
    <xf numFmtId="0" fontId="3" fillId="12" borderId="0" xfId="0" applyFont="1" applyFill="1" applyBorder="1" applyAlignment="1" applyProtection="1">
      <alignment horizontal="left" vertical="center" wrapText="1"/>
      <protection locked="0"/>
    </xf>
    <xf numFmtId="0" fontId="55" fillId="0" borderId="0" xfId="0" applyFont="1" applyBorder="1" applyAlignment="1" applyProtection="1">
      <alignment horizontal="left" vertical="center" wrapText="1"/>
      <protection locked="0"/>
    </xf>
    <xf numFmtId="0" fontId="3" fillId="0" borderId="0" xfId="0" applyFont="1" applyFill="1" applyBorder="1" applyAlignment="1" applyProtection="1">
      <alignment horizontal="left" wrapText="1"/>
      <protection locked="0"/>
    </xf>
    <xf numFmtId="0" fontId="56" fillId="0" borderId="0" xfId="0" applyFont="1" applyBorder="1" applyAlignment="1">
      <alignment horizontal="left"/>
    </xf>
    <xf numFmtId="0" fontId="20" fillId="0" borderId="0" xfId="0" applyFont="1" applyBorder="1" applyAlignment="1" applyProtection="1">
      <alignment horizontal="center" vertical="center"/>
      <protection locked="0"/>
    </xf>
    <xf numFmtId="0" fontId="25" fillId="0" borderId="0" xfId="0" applyFont="1" applyBorder="1" applyAlignment="1">
      <alignment horizontal="left" vertical="center"/>
    </xf>
    <xf numFmtId="0" fontId="3" fillId="0" borderId="0" xfId="0" applyFont="1" applyBorder="1" applyAlignment="1">
      <alignment wrapText="1"/>
    </xf>
    <xf numFmtId="0" fontId="3" fillId="0" borderId="0" xfId="0" applyFont="1" applyBorder="1" applyAlignment="1">
      <alignment vertical="center" wrapText="1"/>
    </xf>
    <xf numFmtId="0" fontId="3" fillId="6" borderId="0" xfId="0" applyFont="1" applyFill="1" applyBorder="1" applyAlignment="1" applyProtection="1">
      <alignment horizontal="center" vertical="center"/>
      <protection locked="0"/>
    </xf>
    <xf numFmtId="167" fontId="20" fillId="0" borderId="0" xfId="0" applyNumberFormat="1" applyFont="1" applyBorder="1" applyAlignment="1" applyProtection="1">
      <alignment horizontal="center" vertical="center"/>
      <protection locked="0"/>
    </xf>
    <xf numFmtId="0" fontId="16" fillId="0" borderId="0" xfId="0" applyFont="1" applyBorder="1" applyAlignment="1" applyProtection="1">
      <alignment horizontal="left" vertical="center"/>
      <protection locked="0"/>
    </xf>
    <xf numFmtId="0" fontId="3" fillId="0" borderId="0" xfId="0" applyFont="1" applyBorder="1" applyAlignment="1" applyProtection="1">
      <alignment horizontal="center" vertical="center"/>
    </xf>
    <xf numFmtId="0" fontId="3" fillId="0" borderId="0" xfId="0" applyFont="1" applyFill="1" applyBorder="1" applyAlignment="1" applyProtection="1">
      <alignment horizontal="center" vertical="center"/>
    </xf>
    <xf numFmtId="0" fontId="12"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25" fillId="4" borderId="0" xfId="0" applyFont="1" applyFill="1" applyBorder="1" applyAlignment="1" applyProtection="1">
      <alignment horizontal="center" vertical="center"/>
      <protection locked="0"/>
    </xf>
    <xf numFmtId="0" fontId="25" fillId="5" borderId="0" xfId="0" applyFont="1" applyFill="1" applyBorder="1" applyAlignment="1" applyProtection="1">
      <alignment horizontal="center" vertical="center"/>
      <protection locked="0"/>
    </xf>
    <xf numFmtId="0" fontId="25" fillId="5" borderId="0" xfId="0" applyFont="1" applyFill="1" applyBorder="1" applyAlignment="1">
      <alignment horizontal="center" vertical="center"/>
    </xf>
    <xf numFmtId="0" fontId="25" fillId="6" borderId="0" xfId="0" applyFont="1" applyFill="1" applyBorder="1" applyAlignment="1" applyProtection="1">
      <alignment horizontal="center" vertical="center"/>
      <protection locked="0"/>
    </xf>
    <xf numFmtId="0" fontId="25" fillId="6" borderId="0" xfId="0" applyFont="1" applyFill="1" applyBorder="1" applyAlignment="1">
      <alignment horizontal="center" vertical="center"/>
    </xf>
    <xf numFmtId="0" fontId="10" fillId="0" borderId="0" xfId="0" applyFont="1" applyBorder="1" applyAlignment="1" applyProtection="1">
      <alignment horizontal="center" vertical="center"/>
      <protection locked="0"/>
    </xf>
    <xf numFmtId="0" fontId="25" fillId="10" borderId="0" xfId="0" applyFont="1" applyFill="1" applyBorder="1" applyAlignment="1">
      <alignment horizontal="center" vertical="center"/>
    </xf>
    <xf numFmtId="0" fontId="25" fillId="9" borderId="0" xfId="0" applyFont="1" applyFill="1" applyBorder="1" applyAlignment="1" applyProtection="1">
      <alignment horizontal="center" vertical="center"/>
      <protection locked="0"/>
    </xf>
    <xf numFmtId="0" fontId="25" fillId="9" borderId="0" xfId="0" applyFont="1" applyFill="1" applyBorder="1" applyAlignment="1">
      <alignment horizontal="center" vertical="center"/>
    </xf>
    <xf numFmtId="0" fontId="25" fillId="2" borderId="0" xfId="0" applyFont="1" applyFill="1" applyBorder="1" applyAlignment="1" applyProtection="1">
      <alignment horizontal="center" vertical="center"/>
      <protection locked="0"/>
    </xf>
    <xf numFmtId="0" fontId="25" fillId="2" borderId="0" xfId="0" applyFont="1" applyFill="1" applyBorder="1" applyAlignment="1">
      <alignment horizontal="center" vertical="center"/>
    </xf>
    <xf numFmtId="0" fontId="28" fillId="0" borderId="0" xfId="0" applyFont="1" applyBorder="1" applyAlignment="1" applyProtection="1">
      <alignment horizontal="center" vertical="center"/>
      <protection locked="0"/>
    </xf>
    <xf numFmtId="0" fontId="25" fillId="8" borderId="0" xfId="0" applyFont="1" applyFill="1" applyBorder="1" applyAlignment="1" applyProtection="1">
      <alignment horizontal="center" vertical="center"/>
      <protection locked="0"/>
    </xf>
    <xf numFmtId="0" fontId="25" fillId="8" borderId="0" xfId="0" applyFont="1" applyFill="1" applyBorder="1" applyAlignment="1">
      <alignment horizontal="center" vertical="center"/>
    </xf>
    <xf numFmtId="0" fontId="45" fillId="0" borderId="0" xfId="0" applyFont="1" applyBorder="1" applyAlignment="1" applyProtection="1">
      <alignment horizontal="center" vertical="center"/>
      <protection locked="0"/>
    </xf>
    <xf numFmtId="0" fontId="20" fillId="0" borderId="0" xfId="0" applyFont="1" applyBorder="1" applyAlignment="1" applyProtection="1">
      <alignment horizontal="center" vertical="center"/>
    </xf>
    <xf numFmtId="0" fontId="29" fillId="0" borderId="0" xfId="0" applyFont="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12" borderId="0" xfId="0" applyFont="1" applyFill="1" applyBorder="1" applyAlignment="1" applyProtection="1">
      <alignment horizontal="center" vertical="center"/>
      <protection locked="0"/>
    </xf>
    <xf numFmtId="0" fontId="19" fillId="0" borderId="0" xfId="0" applyFont="1" applyBorder="1" applyAlignment="1" applyProtection="1">
      <alignment horizontal="center" vertical="center"/>
      <protection locked="0"/>
    </xf>
    <xf numFmtId="0" fontId="20" fillId="5" borderId="0" xfId="0" applyFont="1" applyFill="1" applyBorder="1" applyAlignment="1" applyProtection="1">
      <alignment horizontal="center" vertical="center"/>
      <protection locked="0"/>
    </xf>
    <xf numFmtId="0" fontId="20" fillId="5" borderId="0" xfId="0" applyFont="1" applyFill="1" applyBorder="1" applyAlignment="1">
      <alignment horizontal="center" vertical="center"/>
    </xf>
    <xf numFmtId="0" fontId="20" fillId="6" borderId="0" xfId="0" applyFont="1" applyFill="1" applyBorder="1" applyAlignment="1" applyProtection="1">
      <alignment horizontal="center" vertical="center"/>
      <protection locked="0"/>
    </xf>
    <xf numFmtId="0" fontId="20" fillId="6" borderId="0" xfId="0" applyFont="1" applyFill="1" applyBorder="1" applyAlignment="1">
      <alignment horizontal="center" vertical="center"/>
    </xf>
    <xf numFmtId="0" fontId="29" fillId="0" borderId="0" xfId="0" applyFont="1" applyFill="1" applyBorder="1" applyAlignment="1" applyProtection="1">
      <alignment horizontal="center" vertical="center"/>
      <protection locked="0"/>
    </xf>
    <xf numFmtId="0" fontId="44" fillId="0" borderId="0" xfId="0" applyFont="1" applyBorder="1" applyAlignment="1" applyProtection="1">
      <alignment horizontal="center" vertical="center"/>
      <protection locked="0"/>
    </xf>
    <xf numFmtId="0" fontId="20" fillId="10" borderId="0" xfId="0" applyFont="1" applyFill="1" applyBorder="1" applyAlignment="1">
      <alignment horizontal="center" vertical="center"/>
    </xf>
    <xf numFmtId="0" fontId="20" fillId="9" borderId="0" xfId="0" applyFont="1" applyFill="1" applyBorder="1" applyAlignment="1" applyProtection="1">
      <alignment horizontal="center" vertical="center"/>
      <protection locked="0"/>
    </xf>
    <xf numFmtId="0" fontId="20" fillId="9" borderId="0" xfId="0" applyFont="1" applyFill="1" applyBorder="1" applyAlignment="1">
      <alignment horizontal="center" vertical="center"/>
    </xf>
    <xf numFmtId="0" fontId="20" fillId="2" borderId="0" xfId="0" applyFont="1" applyFill="1" applyBorder="1" applyAlignment="1" applyProtection="1">
      <alignment horizontal="center" vertical="center"/>
      <protection locked="0"/>
    </xf>
    <xf numFmtId="0" fontId="20" fillId="2" borderId="0" xfId="0" applyFont="1" applyFill="1" applyBorder="1" applyAlignment="1">
      <alignment horizontal="center" vertical="center"/>
    </xf>
    <xf numFmtId="0" fontId="20" fillId="8" borderId="0" xfId="0" applyFont="1" applyFill="1" applyBorder="1" applyAlignment="1" applyProtection="1">
      <alignment horizontal="center" vertical="center"/>
      <protection locked="0"/>
    </xf>
    <xf numFmtId="0" fontId="20" fillId="8" borderId="0" xfId="0" applyFont="1" applyFill="1" applyBorder="1" applyAlignment="1">
      <alignment horizontal="center" vertical="center"/>
    </xf>
    <xf numFmtId="0" fontId="46" fillId="0" borderId="0" xfId="0" applyFont="1" applyBorder="1" applyAlignment="1" applyProtection="1">
      <alignment horizontal="center" vertical="center"/>
      <protection locked="0"/>
    </xf>
    <xf numFmtId="0" fontId="3" fillId="2" borderId="0" xfId="0" applyFont="1" applyFill="1" applyBorder="1" applyAlignment="1" applyProtection="1">
      <alignment horizontal="left" wrapText="1"/>
      <protection locked="0"/>
    </xf>
    <xf numFmtId="0" fontId="20" fillId="5" borderId="0" xfId="0" applyFont="1" applyFill="1" applyBorder="1" applyAlignment="1">
      <alignment horizontal="center"/>
    </xf>
    <xf numFmtId="0" fontId="20" fillId="0" borderId="0" xfId="0" applyFont="1" applyBorder="1" applyAlignment="1">
      <alignment horizontal="center"/>
    </xf>
    <xf numFmtId="0" fontId="3" fillId="5" borderId="0" xfId="0" applyFont="1" applyFill="1" applyBorder="1" applyAlignment="1">
      <alignment horizontal="center" vertical="center"/>
    </xf>
    <xf numFmtId="0" fontId="3" fillId="7" borderId="0" xfId="0" applyFont="1" applyFill="1" applyBorder="1" applyAlignment="1">
      <alignment horizontal="center"/>
    </xf>
    <xf numFmtId="0" fontId="3" fillId="7" borderId="0" xfId="0" applyFont="1" applyFill="1" applyBorder="1" applyAlignment="1">
      <alignment horizontal="left"/>
    </xf>
    <xf numFmtId="0" fontId="25" fillId="7" borderId="0" xfId="0" applyFont="1" applyFill="1" applyBorder="1" applyAlignment="1">
      <alignment horizontal="center"/>
    </xf>
    <xf numFmtId="167" fontId="20" fillId="7" borderId="0" xfId="0" applyNumberFormat="1" applyFont="1" applyFill="1" applyBorder="1" applyAlignment="1">
      <alignment horizontal="center"/>
    </xf>
    <xf numFmtId="0" fontId="16" fillId="7" borderId="0" xfId="0" applyFont="1" applyFill="1" applyBorder="1" applyAlignment="1">
      <alignment horizontal="left"/>
    </xf>
    <xf numFmtId="0" fontId="20" fillId="0" borderId="0" xfId="0" applyFont="1" applyFill="1" applyBorder="1" applyAlignment="1">
      <alignment horizontal="center"/>
    </xf>
    <xf numFmtId="0" fontId="11" fillId="0" borderId="0" xfId="0" applyFont="1" applyBorder="1" applyAlignment="1" applyProtection="1">
      <alignment vertical="center"/>
      <protection locked="0"/>
    </xf>
    <xf numFmtId="0" fontId="3" fillId="9" borderId="0" xfId="0" applyFont="1" applyFill="1" applyBorder="1" applyAlignment="1">
      <alignment horizontal="center" vertical="center"/>
    </xf>
    <xf numFmtId="0" fontId="3" fillId="2" borderId="0" xfId="0" applyFont="1" applyFill="1" applyBorder="1" applyAlignment="1">
      <alignment horizontal="center" vertical="center"/>
    </xf>
    <xf numFmtId="167" fontId="29" fillId="0" borderId="0" xfId="0" applyNumberFormat="1" applyFont="1" applyBorder="1" applyAlignment="1" applyProtection="1">
      <alignment horizontal="center" vertical="center" wrapText="1"/>
      <protection locked="0"/>
    </xf>
    <xf numFmtId="0" fontId="3" fillId="5" borderId="0" xfId="0" applyFont="1" applyFill="1" applyBorder="1" applyAlignment="1">
      <alignment horizontal="left" vertical="center"/>
    </xf>
    <xf numFmtId="0" fontId="3" fillId="7" borderId="0" xfId="0" applyFont="1" applyFill="1" applyBorder="1" applyAlignment="1">
      <alignment horizontal="left" vertical="center"/>
    </xf>
    <xf numFmtId="0" fontId="3" fillId="10" borderId="0" xfId="0" applyFont="1" applyFill="1" applyBorder="1" applyAlignment="1">
      <alignment horizontal="left" vertical="center"/>
    </xf>
    <xf numFmtId="0" fontId="3" fillId="8" borderId="0" xfId="0" applyFont="1" applyFill="1" applyBorder="1" applyAlignment="1">
      <alignment horizontal="left" vertical="center"/>
    </xf>
    <xf numFmtId="0" fontId="25" fillId="7" borderId="0" xfId="0" applyFont="1" applyFill="1" applyBorder="1" applyAlignment="1">
      <alignment horizontal="center" vertical="center"/>
    </xf>
    <xf numFmtId="0" fontId="20" fillId="10" borderId="0" xfId="0" applyFont="1" applyFill="1" applyBorder="1" applyAlignment="1">
      <alignment horizontal="center"/>
    </xf>
    <xf numFmtId="0" fontId="20" fillId="7" borderId="0" xfId="0" applyFont="1" applyFill="1" applyBorder="1" applyAlignment="1">
      <alignment horizontal="center" vertical="center"/>
    </xf>
    <xf numFmtId="0" fontId="3" fillId="4" borderId="0" xfId="0" applyFont="1" applyFill="1" applyBorder="1" applyAlignment="1" applyProtection="1">
      <alignment horizontal="left" wrapText="1"/>
      <protection locked="0"/>
    </xf>
    <xf numFmtId="167" fontId="20" fillId="0" borderId="0" xfId="0" applyNumberFormat="1" applyFont="1" applyBorder="1" applyAlignment="1" applyProtection="1">
      <alignment horizontal="center" wrapText="1"/>
      <protection locked="0"/>
    </xf>
    <xf numFmtId="0" fontId="16" fillId="0" borderId="0" xfId="0" applyFont="1" applyBorder="1" applyAlignment="1" applyProtection="1">
      <alignment horizontal="left" wrapText="1"/>
      <protection locked="0"/>
    </xf>
    <xf numFmtId="0" fontId="0" fillId="0" borderId="0" xfId="0" applyAlignment="1" applyProtection="1">
      <alignment horizontal="center"/>
      <protection locked="0"/>
    </xf>
    <xf numFmtId="0" fontId="16" fillId="0" borderId="0" xfId="0" applyFont="1" applyBorder="1" applyAlignment="1">
      <alignment horizontal="left" wrapText="1"/>
    </xf>
    <xf numFmtId="0" fontId="16" fillId="0" borderId="0" xfId="0" applyFont="1" applyBorder="1" applyAlignment="1">
      <alignment horizontal="left" vertical="center" wrapText="1"/>
    </xf>
    <xf numFmtId="0" fontId="20" fillId="7" borderId="0" xfId="0" applyFont="1" applyFill="1" applyBorder="1" applyAlignment="1">
      <alignment horizontal="center"/>
    </xf>
    <xf numFmtId="6" fontId="16" fillId="0" borderId="0" xfId="0" applyNumberFormat="1" applyFont="1" applyBorder="1" applyAlignment="1" applyProtection="1">
      <alignment horizontal="left" vertical="center"/>
      <protection locked="0"/>
    </xf>
    <xf numFmtId="8" fontId="16" fillId="0" borderId="0" xfId="0" applyNumberFormat="1" applyFont="1" applyBorder="1" applyAlignment="1">
      <alignment horizontal="left"/>
    </xf>
    <xf numFmtId="0" fontId="30" fillId="12" borderId="0" xfId="0" applyFont="1" applyFill="1" applyAlignment="1">
      <alignment horizontal="center"/>
    </xf>
    <xf numFmtId="0" fontId="30" fillId="12"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protection locked="0"/>
    </xf>
    <xf numFmtId="0" fontId="33" fillId="14" borderId="0" xfId="0" applyFont="1" applyFill="1" applyAlignment="1">
      <alignment horizontal="left" wrapText="1"/>
    </xf>
    <xf numFmtId="0" fontId="33" fillId="14" borderId="0" xfId="0" applyFont="1" applyFill="1" applyAlignment="1">
      <alignment horizontal="left" vertical="center"/>
    </xf>
    <xf numFmtId="0" fontId="10" fillId="14" borderId="0" xfId="0" applyFont="1" applyFill="1" applyAlignment="1">
      <alignment horizontal="left"/>
    </xf>
    <xf numFmtId="0" fontId="31" fillId="14" borderId="0" xfId="0" applyFont="1" applyFill="1" applyAlignment="1">
      <alignment horizontal="center"/>
    </xf>
    <xf numFmtId="0" fontId="35" fillId="0" borderId="0" xfId="0" applyFont="1" applyAlignment="1">
      <alignment horizontal="left" vertical="center" wrapText="1"/>
    </xf>
    <xf numFmtId="0" fontId="37" fillId="0" borderId="0" xfId="0" applyFont="1" applyAlignment="1">
      <alignment horizontal="left" vertical="center" wrapText="1"/>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5" xfId="0" applyFont="1" applyFill="1" applyBorder="1" applyAlignment="1">
      <alignment horizontal="center"/>
    </xf>
    <xf numFmtId="0" fontId="51" fillId="0" borderId="0" xfId="0" applyFont="1" applyAlignment="1">
      <alignment horizontal="left" wrapText="1"/>
    </xf>
    <xf numFmtId="0" fontId="51" fillId="0" borderId="0" xfId="0" applyFont="1" applyAlignment="1">
      <alignment horizontal="left"/>
    </xf>
    <xf numFmtId="0" fontId="3" fillId="0" borderId="20" xfId="0" applyFont="1" applyBorder="1" applyAlignment="1">
      <alignment horizontal="left"/>
    </xf>
    <xf numFmtId="0" fontId="3" fillId="0" borderId="21" xfId="0" applyFont="1" applyBorder="1" applyAlignment="1">
      <alignment horizontal="left"/>
    </xf>
    <xf numFmtId="0" fontId="25" fillId="0" borderId="21" xfId="0" applyFont="1" applyBorder="1" applyAlignment="1">
      <alignment horizontal="center" vertical="center"/>
    </xf>
    <xf numFmtId="0" fontId="25" fillId="0" borderId="21" xfId="0" applyFont="1" applyBorder="1" applyAlignment="1">
      <alignment horizontal="center"/>
    </xf>
    <xf numFmtId="0" fontId="3" fillId="0" borderId="21" xfId="0" applyFont="1" applyBorder="1"/>
    <xf numFmtId="0" fontId="20" fillId="0" borderId="21" xfId="0" applyFont="1" applyBorder="1" applyAlignment="1">
      <alignment horizontal="center" vertical="center"/>
    </xf>
    <xf numFmtId="167" fontId="20" fillId="0" borderId="21" xfId="0" applyNumberFormat="1" applyFont="1" applyBorder="1" applyAlignment="1">
      <alignment horizontal="center"/>
    </xf>
    <xf numFmtId="0" fontId="16" fillId="0" borderId="21" xfId="0" applyFont="1" applyBorder="1" applyAlignment="1">
      <alignment horizontal="left"/>
    </xf>
    <xf numFmtId="0" fontId="3" fillId="0" borderId="22" xfId="0" applyFont="1" applyBorder="1" applyAlignment="1">
      <alignment horizontal="left" vertical="center"/>
    </xf>
  </cellXfs>
  <cellStyles count="13">
    <cellStyle name="Comma 2" xfId="7" xr:uid="{00000000-0005-0000-0000-000000000000}"/>
    <cellStyle name="Comma 2 2" xfId="8" xr:uid="{00000000-0005-0000-0000-000001000000}"/>
    <cellStyle name="Cost Table Plain" xfId="2" xr:uid="{00000000-0005-0000-0000-000002000000}"/>
    <cellStyle name="Cost_Green" xfId="3" xr:uid="{00000000-0005-0000-0000-000003000000}"/>
    <cellStyle name="Currency 2" xfId="9" xr:uid="{00000000-0005-0000-0000-000004000000}"/>
    <cellStyle name="Good 2" xfId="6" xr:uid="{00000000-0005-0000-0000-000005000000}"/>
    <cellStyle name="Normal" xfId="0" builtinId="0"/>
    <cellStyle name="Normal 2" xfId="10" xr:uid="{00000000-0005-0000-0000-000007000000}"/>
    <cellStyle name="Normal 2 2 4" xfId="4" xr:uid="{00000000-0005-0000-0000-000008000000}"/>
    <cellStyle name="Normal 3" xfId="1" xr:uid="{00000000-0005-0000-0000-000009000000}"/>
    <cellStyle name="Normal 5" xfId="5" xr:uid="{00000000-0005-0000-0000-00000A000000}"/>
    <cellStyle name="Normal_Sheet1" xfId="12" xr:uid="{00000000-0005-0000-0000-00000B000000}"/>
    <cellStyle name="Style 1" xfId="11" xr:uid="{00000000-0005-0000-0000-00000C000000}"/>
  </cellStyles>
  <dxfs count="2">
    <dxf>
      <font>
        <b/>
        <i val="0"/>
        <color rgb="FF00B050"/>
      </font>
    </dxf>
    <dxf>
      <font>
        <b/>
        <i val="0"/>
        <color rgb="FFC00000"/>
      </font>
    </dxf>
  </dxfs>
  <tableStyles count="0" defaultTableStyle="TableStyleMedium2" defaultPivotStyle="PivotStyleLight16"/>
  <colors>
    <mruColors>
      <color rgb="FFFFFF66"/>
      <color rgb="FFF73547"/>
      <color rgb="FFFF0066"/>
      <color rgb="FF66FF66"/>
      <color rgb="FFC0C0C0"/>
      <color rgb="FFFF8F8F"/>
      <color rgb="FFA9DA74"/>
      <color rgb="FFA38EBC"/>
      <color rgb="FFFF8D3F"/>
      <color rgb="FFFF9F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13</xdr:col>
      <xdr:colOff>266699</xdr:colOff>
      <xdr:row>0</xdr:row>
      <xdr:rowOff>114300</xdr:rowOff>
    </xdr:from>
    <xdr:to>
      <xdr:col>14</xdr:col>
      <xdr:colOff>514349</xdr:colOff>
      <xdr:row>4</xdr:row>
      <xdr:rowOff>152399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3849" y="114300"/>
          <a:ext cx="847725" cy="838199"/>
        </a:xfrm>
        <a:prstGeom prst="rect">
          <a:avLst/>
        </a:prstGeom>
      </xdr:spPr>
    </xdr:pic>
    <xdr:clientData/>
  </xdr:twoCellAnchor>
  <xdr:twoCellAnchor editAs="oneCell">
    <xdr:from>
      <xdr:col>0</xdr:col>
      <xdr:colOff>412689</xdr:colOff>
      <xdr:row>5</xdr:row>
      <xdr:rowOff>76200</xdr:rowOff>
    </xdr:from>
    <xdr:to>
      <xdr:col>15</xdr:col>
      <xdr:colOff>28574</xdr:colOff>
      <xdr:row>23</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467" t="16619" r="12195" b="17314"/>
        <a:stretch/>
      </xdr:blipFill>
      <xdr:spPr>
        <a:xfrm>
          <a:off x="412689" y="1104900"/>
          <a:ext cx="8493185" cy="4010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619125</xdr:colOff>
          <xdr:row>1</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0</xdr:row>
          <xdr:rowOff>76200</xdr:rowOff>
        </xdr:from>
        <xdr:to>
          <xdr:col>6</xdr:col>
          <xdr:colOff>409575</xdr:colOff>
          <xdr:row>1</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P/M/F/T</a:t>
              </a:r>
            </a:p>
            <a:p>
              <a:pPr algn="ctr" rtl="0">
                <a:defRPr sz="1000"/>
              </a:pPr>
              <a:r>
                <a:rPr lang="tr-TR" sz="1100" b="1" i="0" u="none" strike="noStrike" baseline="0">
                  <a:solidFill>
                    <a:srgbClr val="000000"/>
                  </a:solidFill>
                  <a:latin typeface="Arial"/>
                  <a:cs typeface="Arial"/>
                </a:rPr>
                <a:t>P/M/F/T/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66675</xdr:rowOff>
        </xdr:from>
        <xdr:to>
          <xdr:col>12</xdr:col>
          <xdr:colOff>200025</xdr:colOff>
          <xdr:row>1</xdr:row>
          <xdr:rowOff>76200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66675</xdr:rowOff>
        </xdr:from>
        <xdr:to>
          <xdr:col>7</xdr:col>
          <xdr:colOff>1552575</xdr:colOff>
          <xdr:row>1</xdr:row>
          <xdr:rowOff>76200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Delete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76200</xdr:rowOff>
        </xdr:from>
        <xdr:to>
          <xdr:col>3</xdr:col>
          <xdr:colOff>1181100</xdr:colOff>
          <xdr:row>1</xdr:row>
          <xdr:rowOff>95250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66675</xdr:rowOff>
        </xdr:from>
        <xdr:to>
          <xdr:col>10</xdr:col>
          <xdr:colOff>476250</xdr:colOff>
          <xdr:row>1</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86254</xdr:colOff>
      <xdr:row>19</xdr:row>
      <xdr:rowOff>266699</xdr:rowOff>
    </xdr:from>
    <xdr:to>
      <xdr:col>13</xdr:col>
      <xdr:colOff>520344</xdr:colOff>
      <xdr:row>35</xdr:row>
      <xdr:rowOff>47624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71" t="-418" r="45646" b="58158"/>
        <a:stretch/>
      </xdr:blipFill>
      <xdr:spPr bwMode="auto">
        <a:xfrm>
          <a:off x="762529" y="5457824"/>
          <a:ext cx="7139690"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66FF66"/>
    <pageSetUpPr autoPageBreaks="0"/>
  </sheetPr>
  <dimension ref="A1:P233"/>
  <sheetViews>
    <sheetView topLeftCell="A4" workbookViewId="0">
      <selection activeCell="I3" sqref="I3"/>
    </sheetView>
  </sheetViews>
  <sheetFormatPr defaultColWidth="0" defaultRowHeight="15" zeroHeight="1"/>
  <cols>
    <col min="1" max="1" width="7.140625" customWidth="1"/>
    <col min="2" max="15" width="9" customWidth="1"/>
    <col min="16" max="16" width="8.7109375" customWidth="1"/>
    <col min="17" max="16384" width="9.140625" hidden="1"/>
  </cols>
  <sheetData>
    <row r="1" spans="1:16" ht="15.75" customHeight="1">
      <c r="A1" s="45"/>
      <c r="B1" s="45"/>
      <c r="C1" s="45"/>
      <c r="D1" s="45"/>
      <c r="E1" s="45"/>
      <c r="F1" s="45"/>
      <c r="G1" s="45"/>
      <c r="H1" s="45"/>
      <c r="I1" s="45"/>
      <c r="J1" s="45"/>
      <c r="K1" s="45"/>
      <c r="L1" s="45"/>
      <c r="M1" s="45"/>
      <c r="N1" s="45"/>
      <c r="O1" s="45"/>
      <c r="P1" s="45"/>
    </row>
    <row r="2" spans="1:16" ht="15.75" customHeight="1">
      <c r="A2" s="45"/>
      <c r="B2" s="45"/>
      <c r="C2" s="45"/>
      <c r="D2" s="45"/>
      <c r="E2" s="173"/>
      <c r="F2" s="174" t="s">
        <v>134</v>
      </c>
      <c r="G2" s="456">
        <v>106</v>
      </c>
      <c r="H2" s="171"/>
      <c r="I2" s="172"/>
      <c r="J2" s="172"/>
      <c r="K2" s="45"/>
      <c r="L2" s="45"/>
      <c r="M2" s="45"/>
      <c r="N2" s="45"/>
      <c r="O2" s="45"/>
      <c r="P2" s="45"/>
    </row>
    <row r="3" spans="1:16" ht="15.75" customHeight="1">
      <c r="A3" s="45"/>
      <c r="B3" s="45"/>
      <c r="C3" s="45"/>
      <c r="D3" s="45"/>
      <c r="E3" s="173"/>
      <c r="F3" s="174" t="s">
        <v>135</v>
      </c>
      <c r="G3" s="172" t="s">
        <v>3481</v>
      </c>
      <c r="H3" s="172"/>
      <c r="I3" s="172"/>
      <c r="J3" s="172"/>
      <c r="K3" s="45"/>
      <c r="L3" s="45"/>
      <c r="M3" s="45"/>
      <c r="N3" s="45"/>
      <c r="O3" s="45"/>
      <c r="P3" s="45"/>
    </row>
    <row r="4" spans="1:16" ht="15.75" customHeight="1">
      <c r="A4" s="45"/>
      <c r="B4" s="45"/>
      <c r="C4" s="45"/>
      <c r="D4" s="45"/>
      <c r="E4" s="173"/>
      <c r="F4" s="174" t="s">
        <v>136</v>
      </c>
      <c r="G4" s="172" t="s">
        <v>3482</v>
      </c>
      <c r="H4" s="172"/>
      <c r="I4" s="172"/>
      <c r="J4" s="172"/>
      <c r="K4" s="45"/>
      <c r="L4" s="45"/>
      <c r="M4" s="45"/>
      <c r="N4" s="45"/>
      <c r="O4" s="45"/>
      <c r="P4" s="45"/>
    </row>
    <row r="5" spans="1:16" ht="18" customHeight="1">
      <c r="A5" s="45"/>
      <c r="B5" s="45"/>
      <c r="C5" s="45"/>
      <c r="D5" s="45"/>
      <c r="E5" s="45"/>
      <c r="F5" s="45"/>
      <c r="G5" s="45"/>
      <c r="H5" s="45"/>
      <c r="I5" s="45"/>
      <c r="J5" s="45"/>
      <c r="K5" s="45"/>
      <c r="L5" s="45"/>
      <c r="M5" s="45"/>
      <c r="N5" s="45"/>
      <c r="O5" s="45"/>
      <c r="P5" s="45"/>
    </row>
    <row r="6" spans="1:16" ht="17.25" customHeight="1">
      <c r="A6" s="45"/>
      <c r="B6" s="463" t="s">
        <v>1292</v>
      </c>
      <c r="C6" s="464"/>
      <c r="D6" s="464"/>
      <c r="E6" s="464"/>
      <c r="F6" s="464"/>
      <c r="G6" s="464"/>
      <c r="H6" s="464"/>
      <c r="I6" s="464"/>
      <c r="J6" s="464"/>
      <c r="K6" s="464"/>
      <c r="L6" s="464"/>
      <c r="M6" s="464"/>
      <c r="N6" s="464"/>
      <c r="O6" s="464"/>
      <c r="P6" s="45"/>
    </row>
    <row r="7" spans="1:16" ht="17.25" customHeight="1">
      <c r="A7" s="45"/>
      <c r="B7" s="464"/>
      <c r="C7" s="464"/>
      <c r="D7" s="464"/>
      <c r="E7" s="464"/>
      <c r="F7" s="464"/>
      <c r="G7" s="464"/>
      <c r="H7" s="464"/>
      <c r="I7" s="464"/>
      <c r="J7" s="464"/>
      <c r="K7" s="464"/>
      <c r="L7" s="464"/>
      <c r="M7" s="464"/>
      <c r="N7" s="464"/>
      <c r="O7" s="464"/>
      <c r="P7" s="45"/>
    </row>
    <row r="8" spans="1:16" ht="17.25" customHeight="1">
      <c r="A8" s="45"/>
      <c r="B8" s="464"/>
      <c r="C8" s="464"/>
      <c r="D8" s="464"/>
      <c r="E8" s="464"/>
      <c r="F8" s="464"/>
      <c r="G8" s="464"/>
      <c r="H8" s="464"/>
      <c r="I8" s="464"/>
      <c r="J8" s="464"/>
      <c r="K8" s="464"/>
      <c r="L8" s="464"/>
      <c r="M8" s="464"/>
      <c r="N8" s="464"/>
      <c r="O8" s="464"/>
      <c r="P8" s="45"/>
    </row>
    <row r="9" spans="1:16" ht="17.25" customHeight="1">
      <c r="A9" s="45"/>
      <c r="B9" s="464"/>
      <c r="C9" s="464"/>
      <c r="D9" s="464"/>
      <c r="E9" s="464"/>
      <c r="F9" s="464"/>
      <c r="G9" s="464"/>
      <c r="H9" s="464"/>
      <c r="I9" s="464"/>
      <c r="J9" s="464"/>
      <c r="K9" s="464"/>
      <c r="L9" s="464"/>
      <c r="M9" s="464"/>
      <c r="N9" s="464"/>
      <c r="O9" s="464"/>
      <c r="P9" s="45"/>
    </row>
    <row r="10" spans="1:16" ht="17.25" customHeight="1">
      <c r="A10" s="45"/>
      <c r="B10" s="464"/>
      <c r="C10" s="464"/>
      <c r="D10" s="464"/>
      <c r="E10" s="464"/>
      <c r="F10" s="464"/>
      <c r="G10" s="464"/>
      <c r="H10" s="464"/>
      <c r="I10" s="464"/>
      <c r="J10" s="464"/>
      <c r="K10" s="464"/>
      <c r="L10" s="464"/>
      <c r="M10" s="464"/>
      <c r="N10" s="464"/>
      <c r="O10" s="464"/>
      <c r="P10" s="45"/>
    </row>
    <row r="11" spans="1:16" ht="17.25" customHeight="1">
      <c r="A11" s="45"/>
      <c r="B11" s="464"/>
      <c r="C11" s="464"/>
      <c r="D11" s="464"/>
      <c r="E11" s="464"/>
      <c r="F11" s="464"/>
      <c r="G11" s="464"/>
      <c r="H11" s="464"/>
      <c r="I11" s="464"/>
      <c r="J11" s="464"/>
      <c r="K11" s="464"/>
      <c r="L11" s="464"/>
      <c r="M11" s="464"/>
      <c r="N11" s="464"/>
      <c r="O11" s="464"/>
      <c r="P11" s="45"/>
    </row>
    <row r="12" spans="1:16" ht="17.25" customHeight="1">
      <c r="A12" s="45"/>
      <c r="B12" s="464"/>
      <c r="C12" s="464"/>
      <c r="D12" s="464"/>
      <c r="E12" s="464"/>
      <c r="F12" s="464"/>
      <c r="G12" s="464"/>
      <c r="H12" s="464"/>
      <c r="I12" s="464"/>
      <c r="J12" s="464"/>
      <c r="K12" s="464"/>
      <c r="L12" s="464"/>
      <c r="M12" s="464"/>
      <c r="N12" s="464"/>
      <c r="O12" s="464"/>
      <c r="P12" s="45"/>
    </row>
    <row r="13" spans="1:16" ht="17.25" customHeight="1">
      <c r="A13" s="45"/>
      <c r="B13" s="464"/>
      <c r="C13" s="464"/>
      <c r="D13" s="464"/>
      <c r="E13" s="464"/>
      <c r="F13" s="464"/>
      <c r="G13" s="464"/>
      <c r="H13" s="464"/>
      <c r="I13" s="464"/>
      <c r="J13" s="464"/>
      <c r="K13" s="464"/>
      <c r="L13" s="464"/>
      <c r="M13" s="464"/>
      <c r="N13" s="464"/>
      <c r="O13" s="464"/>
      <c r="P13" s="45"/>
    </row>
    <row r="14" spans="1:16" ht="17.25" customHeight="1">
      <c r="A14" s="45"/>
      <c r="B14" s="464"/>
      <c r="C14" s="464"/>
      <c r="D14" s="464"/>
      <c r="E14" s="464"/>
      <c r="F14" s="464"/>
      <c r="G14" s="464"/>
      <c r="H14" s="464"/>
      <c r="I14" s="464"/>
      <c r="J14" s="464"/>
      <c r="K14" s="464"/>
      <c r="L14" s="464"/>
      <c r="M14" s="464"/>
      <c r="N14" s="464"/>
      <c r="O14" s="464"/>
      <c r="P14" s="45"/>
    </row>
    <row r="15" spans="1:16" ht="17.25" customHeight="1">
      <c r="A15" s="45"/>
      <c r="B15" s="464"/>
      <c r="C15" s="464"/>
      <c r="D15" s="464"/>
      <c r="E15" s="464"/>
      <c r="F15" s="464"/>
      <c r="G15" s="464"/>
      <c r="H15" s="464"/>
      <c r="I15" s="464"/>
      <c r="J15" s="464"/>
      <c r="K15" s="464"/>
      <c r="L15" s="464"/>
      <c r="M15" s="464"/>
      <c r="N15" s="464"/>
      <c r="O15" s="464"/>
      <c r="P15" s="45"/>
    </row>
    <row r="16" spans="1:16" ht="17.25" customHeight="1">
      <c r="A16" s="45"/>
      <c r="B16" s="464"/>
      <c r="C16" s="464"/>
      <c r="D16" s="464"/>
      <c r="E16" s="464"/>
      <c r="F16" s="464"/>
      <c r="G16" s="464"/>
      <c r="H16" s="464"/>
      <c r="I16" s="464"/>
      <c r="J16" s="464"/>
      <c r="K16" s="464"/>
      <c r="L16" s="464"/>
      <c r="M16" s="464"/>
      <c r="N16" s="464"/>
      <c r="O16" s="464"/>
      <c r="P16" s="45"/>
    </row>
    <row r="17" spans="1:16" ht="17.25" customHeight="1">
      <c r="A17" s="45"/>
      <c r="B17" s="464"/>
      <c r="C17" s="464"/>
      <c r="D17" s="464"/>
      <c r="E17" s="464"/>
      <c r="F17" s="464"/>
      <c r="G17" s="464"/>
      <c r="H17" s="464"/>
      <c r="I17" s="464"/>
      <c r="J17" s="464"/>
      <c r="K17" s="464"/>
      <c r="L17" s="464"/>
      <c r="M17" s="464"/>
      <c r="N17" s="464"/>
      <c r="O17" s="464"/>
      <c r="P17" s="45"/>
    </row>
    <row r="18" spans="1:16" ht="17.25" customHeight="1">
      <c r="A18" s="45"/>
      <c r="B18" s="464"/>
      <c r="C18" s="464"/>
      <c r="D18" s="464"/>
      <c r="E18" s="464"/>
      <c r="F18" s="464"/>
      <c r="G18" s="464"/>
      <c r="H18" s="464"/>
      <c r="I18" s="464"/>
      <c r="J18" s="464"/>
      <c r="K18" s="464"/>
      <c r="L18" s="464"/>
      <c r="M18" s="464"/>
      <c r="N18" s="464"/>
      <c r="O18" s="464"/>
      <c r="P18" s="45"/>
    </row>
    <row r="19" spans="1:16" ht="17.25" customHeight="1">
      <c r="A19" s="45"/>
      <c r="B19" s="464"/>
      <c r="C19" s="464"/>
      <c r="D19" s="464"/>
      <c r="E19" s="464"/>
      <c r="F19" s="464"/>
      <c r="G19" s="464"/>
      <c r="H19" s="464"/>
      <c r="I19" s="464"/>
      <c r="J19" s="464"/>
      <c r="K19" s="464"/>
      <c r="L19" s="464"/>
      <c r="M19" s="464"/>
      <c r="N19" s="464"/>
      <c r="O19" s="464"/>
      <c r="P19" s="45"/>
    </row>
    <row r="20" spans="1:16" ht="17.25" customHeight="1">
      <c r="A20" s="45"/>
      <c r="B20" s="464"/>
      <c r="C20" s="464"/>
      <c r="D20" s="464"/>
      <c r="E20" s="464"/>
      <c r="F20" s="464"/>
      <c r="G20" s="464"/>
      <c r="H20" s="464"/>
      <c r="I20" s="464"/>
      <c r="J20" s="464"/>
      <c r="K20" s="464"/>
      <c r="L20" s="464"/>
      <c r="M20" s="464"/>
      <c r="N20" s="464"/>
      <c r="O20" s="464"/>
      <c r="P20" s="45"/>
    </row>
    <row r="21" spans="1:16" ht="17.25" customHeight="1">
      <c r="A21" s="45"/>
      <c r="B21" s="464"/>
      <c r="C21" s="464"/>
      <c r="D21" s="464"/>
      <c r="E21" s="464"/>
      <c r="F21" s="464"/>
      <c r="G21" s="464"/>
      <c r="H21" s="464"/>
      <c r="I21" s="464"/>
      <c r="J21" s="464"/>
      <c r="K21" s="464"/>
      <c r="L21" s="464"/>
      <c r="M21" s="464"/>
      <c r="N21" s="464"/>
      <c r="O21" s="464"/>
      <c r="P21" s="45"/>
    </row>
    <row r="22" spans="1:16" ht="17.25" customHeight="1">
      <c r="A22" s="45"/>
      <c r="B22" s="464"/>
      <c r="C22" s="464"/>
      <c r="D22" s="464"/>
      <c r="E22" s="464"/>
      <c r="F22" s="464"/>
      <c r="G22" s="464"/>
      <c r="H22" s="464"/>
      <c r="I22" s="464"/>
      <c r="J22" s="464"/>
      <c r="K22" s="464"/>
      <c r="L22" s="464"/>
      <c r="M22" s="464"/>
      <c r="N22" s="464"/>
      <c r="O22" s="464"/>
      <c r="P22" s="45"/>
    </row>
    <row r="23" spans="1:16" ht="17.25" customHeight="1">
      <c r="A23" s="45"/>
      <c r="B23" s="464"/>
      <c r="C23" s="464"/>
      <c r="D23" s="464"/>
      <c r="E23" s="464"/>
      <c r="F23" s="464"/>
      <c r="G23" s="464"/>
      <c r="H23" s="464"/>
      <c r="I23" s="464"/>
      <c r="J23" s="464"/>
      <c r="K23" s="464"/>
      <c r="L23" s="464"/>
      <c r="M23" s="464"/>
      <c r="N23" s="464"/>
      <c r="O23" s="464"/>
      <c r="P23" s="45"/>
    </row>
    <row r="24" spans="1:16" ht="17.25" customHeight="1">
      <c r="A24" s="45"/>
      <c r="B24" s="464"/>
      <c r="C24" s="464"/>
      <c r="D24" s="464"/>
      <c r="E24" s="464"/>
      <c r="F24" s="464"/>
      <c r="G24" s="464"/>
      <c r="H24" s="464"/>
      <c r="I24" s="464"/>
      <c r="J24" s="464"/>
      <c r="K24" s="464"/>
      <c r="L24" s="464"/>
      <c r="M24" s="464"/>
      <c r="N24" s="464"/>
      <c r="O24" s="464"/>
      <c r="P24" s="45"/>
    </row>
    <row r="25" spans="1:16" ht="17.25" customHeight="1">
      <c r="A25" s="45"/>
      <c r="B25" s="464"/>
      <c r="C25" s="464"/>
      <c r="D25" s="464"/>
      <c r="E25" s="464"/>
      <c r="F25" s="464"/>
      <c r="G25" s="464"/>
      <c r="H25" s="464"/>
      <c r="I25" s="464"/>
      <c r="J25" s="464"/>
      <c r="K25" s="464"/>
      <c r="L25" s="464"/>
      <c r="M25" s="464"/>
      <c r="N25" s="464"/>
      <c r="O25" s="464"/>
      <c r="P25" s="45"/>
    </row>
    <row r="26" spans="1:16" ht="17.25" customHeight="1">
      <c r="A26" s="45"/>
      <c r="B26" s="464"/>
      <c r="C26" s="464"/>
      <c r="D26" s="464"/>
      <c r="E26" s="464"/>
      <c r="F26" s="464"/>
      <c r="G26" s="464"/>
      <c r="H26" s="464"/>
      <c r="I26" s="464"/>
      <c r="J26" s="464"/>
      <c r="K26" s="464"/>
      <c r="L26" s="464"/>
      <c r="M26" s="464"/>
      <c r="N26" s="464"/>
      <c r="O26" s="464"/>
      <c r="P26" s="45"/>
    </row>
    <row r="27" spans="1:16" ht="17.25" customHeight="1">
      <c r="A27" s="45"/>
      <c r="B27" s="45"/>
      <c r="C27" s="45"/>
      <c r="D27" s="45"/>
      <c r="E27" s="45"/>
      <c r="F27" s="45"/>
      <c r="G27" s="45"/>
      <c r="H27" s="45"/>
      <c r="I27" s="45"/>
      <c r="J27" s="45"/>
      <c r="K27" s="45"/>
      <c r="L27" s="45"/>
      <c r="M27" s="45"/>
      <c r="N27" s="45"/>
      <c r="O27" s="45"/>
      <c r="P27" s="45"/>
    </row>
    <row r="28" spans="1:16" ht="17.25" customHeight="1">
      <c r="A28" s="462" t="s">
        <v>1260</v>
      </c>
      <c r="B28" s="462"/>
      <c r="C28" s="462"/>
      <c r="D28" s="462"/>
      <c r="E28" s="462"/>
      <c r="F28" s="462"/>
      <c r="G28" s="462"/>
      <c r="H28" s="462"/>
      <c r="I28" s="462"/>
      <c r="J28" s="462"/>
      <c r="K28" s="462"/>
      <c r="L28" s="462"/>
      <c r="M28" s="462"/>
      <c r="N28" s="462"/>
      <c r="O28" s="462"/>
      <c r="P28" s="462"/>
    </row>
    <row r="45" spans="2:12" hidden="1">
      <c r="B45" s="175"/>
      <c r="C45" s="175"/>
      <c r="D45" s="175"/>
      <c r="E45" s="175"/>
      <c r="F45" s="175"/>
      <c r="G45" s="175"/>
      <c r="H45" s="175"/>
      <c r="I45" s="175"/>
      <c r="J45" s="175"/>
      <c r="K45" s="175"/>
      <c r="L45" s="175"/>
    </row>
    <row r="196" spans="2:12" hidden="1">
      <c r="B196" s="175"/>
      <c r="C196" s="175"/>
      <c r="D196" s="175"/>
      <c r="E196" s="175"/>
      <c r="F196" s="175"/>
      <c r="G196" s="175"/>
      <c r="H196" s="175"/>
      <c r="I196" s="175"/>
      <c r="J196" s="175"/>
      <c r="K196" s="175"/>
      <c r="L196" s="175"/>
    </row>
    <row r="200" spans="2:12" hidden="1">
      <c r="B200" s="175"/>
      <c r="C200" s="175"/>
      <c r="D200" s="175"/>
      <c r="E200" s="175"/>
      <c r="F200" s="175"/>
      <c r="G200" s="175"/>
      <c r="H200" s="175"/>
      <c r="I200" s="175"/>
      <c r="J200" s="175"/>
      <c r="K200" s="175"/>
      <c r="L200" s="175"/>
    </row>
    <row r="207" spans="2:12" hidden="1">
      <c r="B207" s="175"/>
      <c r="C207" s="175"/>
      <c r="D207" s="175"/>
      <c r="E207" s="175"/>
      <c r="F207" s="175"/>
      <c r="G207" s="175"/>
      <c r="H207" s="175"/>
      <c r="I207" s="175"/>
      <c r="J207" s="175"/>
      <c r="K207" s="175"/>
      <c r="L207" s="175"/>
    </row>
    <row r="208" spans="2:12" hidden="1">
      <c r="B208" s="175"/>
      <c r="C208" s="175"/>
      <c r="D208" s="175"/>
      <c r="E208" s="175"/>
      <c r="F208" s="175"/>
      <c r="G208" s="175"/>
      <c r="H208" s="175"/>
      <c r="I208" s="175"/>
      <c r="J208" s="175"/>
      <c r="K208" s="175"/>
      <c r="L208" s="175"/>
    </row>
    <row r="213" spans="2:12" hidden="1">
      <c r="B213" s="175"/>
      <c r="C213" s="175"/>
      <c r="D213" s="175"/>
      <c r="E213" s="175"/>
      <c r="F213" s="175"/>
      <c r="G213" s="175"/>
      <c r="H213" s="175"/>
      <c r="I213" s="175"/>
      <c r="J213" s="175"/>
      <c r="K213" s="175"/>
      <c r="L213" s="175"/>
    </row>
    <row r="219" spans="2:12" hidden="1">
      <c r="B219" s="175"/>
      <c r="C219" s="175"/>
      <c r="D219" s="175"/>
      <c r="E219" s="175"/>
      <c r="F219" s="175"/>
      <c r="G219" s="175"/>
      <c r="H219" s="175"/>
      <c r="I219" s="175"/>
      <c r="J219" s="175"/>
      <c r="K219" s="175"/>
      <c r="L219" s="175"/>
    </row>
    <row r="221" spans="2:12" hidden="1">
      <c r="B221" s="175"/>
      <c r="C221" s="175"/>
      <c r="D221" s="175"/>
      <c r="E221" s="175"/>
      <c r="F221" s="175"/>
      <c r="G221" s="175"/>
      <c r="H221" s="175"/>
      <c r="I221" s="175"/>
      <c r="J221" s="175"/>
      <c r="K221" s="175"/>
      <c r="L221" s="175"/>
    </row>
    <row r="223" spans="2:12" hidden="1">
      <c r="B223" s="175"/>
      <c r="C223" s="175"/>
      <c r="D223" s="175"/>
      <c r="E223" s="175"/>
      <c r="F223" s="175"/>
      <c r="G223" s="175"/>
      <c r="H223" s="175"/>
      <c r="I223" s="175"/>
      <c r="J223" s="175"/>
      <c r="K223" s="175"/>
      <c r="L223" s="175"/>
    </row>
    <row r="224" spans="2:12" hidden="1">
      <c r="B224" s="175"/>
      <c r="C224" s="175"/>
      <c r="D224" s="175"/>
      <c r="E224" s="175"/>
      <c r="F224" s="175"/>
      <c r="G224" s="175"/>
      <c r="H224" s="175"/>
      <c r="I224" s="175"/>
      <c r="J224" s="175"/>
      <c r="K224" s="175"/>
      <c r="L224" s="175"/>
    </row>
    <row r="226" spans="2:12" hidden="1">
      <c r="B226" s="175"/>
      <c r="C226" s="175"/>
      <c r="D226" s="175"/>
      <c r="E226" s="175"/>
      <c r="F226" s="175"/>
      <c r="G226" s="175"/>
      <c r="H226" s="175"/>
      <c r="I226" s="175"/>
      <c r="J226" s="175"/>
      <c r="K226" s="175"/>
      <c r="L226" s="175"/>
    </row>
    <row r="227" spans="2:12" hidden="1">
      <c r="B227" s="175"/>
      <c r="C227" s="175"/>
      <c r="D227" s="175"/>
      <c r="E227" s="175"/>
      <c r="F227" s="175"/>
      <c r="G227" s="175"/>
      <c r="H227" s="175"/>
      <c r="I227" s="175"/>
      <c r="J227" s="175"/>
      <c r="K227" s="175"/>
      <c r="L227" s="175"/>
    </row>
    <row r="230" spans="2:12" hidden="1">
      <c r="B230" s="175"/>
      <c r="C230" s="175"/>
      <c r="D230" s="175"/>
      <c r="E230" s="175"/>
      <c r="F230" s="175"/>
      <c r="G230" s="175"/>
      <c r="H230" s="175"/>
      <c r="I230" s="175"/>
      <c r="J230" s="175"/>
      <c r="K230" s="175"/>
      <c r="L230" s="175"/>
    </row>
    <row r="231" spans="2:12" hidden="1">
      <c r="B231" s="175"/>
      <c r="C231" s="175"/>
      <c r="D231" s="175"/>
      <c r="E231" s="175"/>
      <c r="F231" s="175"/>
      <c r="G231" s="175"/>
      <c r="H231" s="175"/>
      <c r="I231" s="175"/>
      <c r="J231" s="175"/>
      <c r="K231" s="175"/>
      <c r="L231" s="175"/>
    </row>
    <row r="232" spans="2:12" hidden="1">
      <c r="B232" s="175"/>
      <c r="C232" s="175"/>
      <c r="D232" s="175"/>
      <c r="E232" s="175"/>
      <c r="F232" s="175"/>
      <c r="G232" s="175"/>
      <c r="H232" s="175"/>
      <c r="I232" s="175"/>
      <c r="J232" s="175"/>
      <c r="K232" s="175"/>
      <c r="L232" s="175"/>
    </row>
    <row r="233" spans="2:12" hidden="1">
      <c r="B233" s="175"/>
      <c r="C233" s="175"/>
      <c r="D233" s="175"/>
      <c r="E233" s="175"/>
      <c r="F233" s="175"/>
      <c r="G233" s="175"/>
      <c r="H233" s="175"/>
      <c r="I233" s="175"/>
      <c r="J233" s="175"/>
      <c r="K233" s="175"/>
      <c r="L233" s="175"/>
    </row>
  </sheetData>
  <sheetProtection formatCells="0" insertHyperlinks="0" sort="0" autoFilter="0" pivotTables="0"/>
  <mergeCells count="2">
    <mergeCell ref="A28:P28"/>
    <mergeCell ref="B6:O26"/>
  </mergeCells>
  <pageMargins left="0.25" right="0.25"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66FF66"/>
    <outlinePr summaryBelow="0"/>
    <pageSetUpPr autoPageBreaks="0" fitToPage="1"/>
  </sheetPr>
  <dimension ref="A1:P1693"/>
  <sheetViews>
    <sheetView showGridLines="0" tabSelected="1" topLeftCell="A429" zoomScale="80" zoomScaleNormal="80" zoomScaleSheetLayoutView="100" workbookViewId="0">
      <selection activeCell="H441" sqref="H441"/>
    </sheetView>
  </sheetViews>
  <sheetFormatPr defaultColWidth="0" defaultRowHeight="14.25"/>
  <cols>
    <col min="1" max="1" width="3.42578125" style="96" customWidth="1"/>
    <col min="2" max="2" width="8.28515625" style="96" bestFit="1" customWidth="1"/>
    <col min="3" max="3" width="11" style="96" customWidth="1"/>
    <col min="4" max="4" width="34.85546875" style="322" bestFit="1" customWidth="1"/>
    <col min="5" max="5" width="5.140625" style="397" customWidth="1"/>
    <col min="6" max="6" width="8.5703125" style="98" customWidth="1"/>
    <col min="7" max="7" width="28.140625" style="322" bestFit="1" customWidth="1"/>
    <col min="8" max="8" width="51.7109375" style="97" bestFit="1" customWidth="1"/>
    <col min="9" max="9" width="5.28515625" style="387" customWidth="1"/>
    <col min="10" max="10" width="15.7109375" style="99" customWidth="1"/>
    <col min="11" max="11" width="25.42578125" style="100" customWidth="1"/>
    <col min="12" max="12" width="16.42578125" style="322" customWidth="1"/>
    <col min="13" max="13" width="3.5703125" style="101" customWidth="1"/>
    <col min="14" max="14" width="8.7109375" style="96" hidden="1" customWidth="1"/>
    <col min="15" max="15" width="9.5703125" style="96" hidden="1" customWidth="1"/>
    <col min="16" max="16" width="8.7109375" style="96" hidden="1" customWidth="1"/>
    <col min="17" max="16384" width="9.140625" style="96" hidden="1"/>
  </cols>
  <sheetData>
    <row r="1" spans="1:15" s="135" customFormat="1" ht="16.5" customHeight="1">
      <c r="D1" s="319"/>
      <c r="E1" s="394"/>
      <c r="F1" s="162"/>
      <c r="G1" s="319"/>
      <c r="H1" s="160"/>
      <c r="I1" s="413"/>
      <c r="J1" s="163">
        <v>0</v>
      </c>
      <c r="K1" s="164"/>
      <c r="L1" s="319"/>
      <c r="M1" s="165"/>
    </row>
    <row r="2" spans="1:15" s="136" customFormat="1" ht="16.5" customHeight="1">
      <c r="A2" s="165"/>
      <c r="B2" s="165"/>
      <c r="C2" s="165"/>
      <c r="D2" s="320"/>
      <c r="E2" s="395"/>
      <c r="F2" s="167"/>
      <c r="G2" s="320"/>
      <c r="H2" s="166"/>
      <c r="I2" s="395"/>
      <c r="J2" s="167"/>
      <c r="K2" s="166"/>
      <c r="L2" s="320"/>
      <c r="M2" s="165"/>
      <c r="O2" s="165"/>
    </row>
    <row r="3" spans="1:15" s="177" customFormat="1" ht="26.25">
      <c r="A3" s="176"/>
      <c r="B3" s="168" t="s">
        <v>0</v>
      </c>
      <c r="C3" s="168" t="s">
        <v>1</v>
      </c>
      <c r="D3" s="168" t="s">
        <v>2</v>
      </c>
      <c r="E3" s="168" t="s">
        <v>986</v>
      </c>
      <c r="F3" s="168" t="s">
        <v>10</v>
      </c>
      <c r="G3" s="339"/>
      <c r="H3" s="168" t="s">
        <v>4</v>
      </c>
      <c r="I3" s="168" t="s">
        <v>5</v>
      </c>
      <c r="J3" s="169" t="s">
        <v>1246</v>
      </c>
      <c r="K3" s="169" t="s">
        <v>7</v>
      </c>
      <c r="L3" s="168" t="s">
        <v>8</v>
      </c>
      <c r="M3" s="176"/>
      <c r="O3" s="176"/>
    </row>
    <row r="4" spans="1:15" s="103" customFormat="1" ht="15" customHeight="1">
      <c r="A4" s="158" t="s">
        <v>17</v>
      </c>
      <c r="D4" s="321"/>
      <c r="E4" s="396"/>
      <c r="F4" s="105"/>
      <c r="G4" s="321"/>
      <c r="H4" s="159" t="s">
        <v>1247</v>
      </c>
      <c r="I4" s="414">
        <v>1</v>
      </c>
      <c r="J4" s="133">
        <v>0</v>
      </c>
      <c r="K4" s="161">
        <f>J4*I4</f>
        <v>0</v>
      </c>
      <c r="L4" s="321"/>
      <c r="M4" s="107"/>
    </row>
    <row r="5" spans="1:15" ht="15" customHeight="1"/>
    <row r="6" spans="1:15" ht="15" customHeight="1">
      <c r="B6" s="259" t="s">
        <v>11</v>
      </c>
      <c r="C6" s="260" t="s">
        <v>19</v>
      </c>
      <c r="D6" s="323"/>
      <c r="E6" s="398"/>
      <c r="F6" s="261"/>
      <c r="G6" s="323"/>
      <c r="H6" s="260" t="s">
        <v>1385</v>
      </c>
      <c r="I6" s="415">
        <v>1</v>
      </c>
      <c r="J6" s="262"/>
      <c r="K6" s="263"/>
      <c r="L6" s="323" t="s">
        <v>1386</v>
      </c>
    </row>
    <row r="7" spans="1:15">
      <c r="B7" s="259"/>
      <c r="C7" s="97"/>
      <c r="D7" s="322" t="s">
        <v>1390</v>
      </c>
      <c r="E7" s="380" t="s">
        <v>1311</v>
      </c>
      <c r="F7" s="264"/>
      <c r="H7" s="97" t="s">
        <v>1391</v>
      </c>
      <c r="I7" s="387">
        <v>2</v>
      </c>
      <c r="L7" s="322" t="s">
        <v>1387</v>
      </c>
    </row>
    <row r="8" spans="1:15">
      <c r="B8" s="259"/>
      <c r="C8" s="97"/>
      <c r="E8" s="380"/>
      <c r="F8" s="264" t="s">
        <v>1305</v>
      </c>
      <c r="G8" s="322" t="s">
        <v>1424</v>
      </c>
      <c r="H8" s="97" t="s">
        <v>3733</v>
      </c>
      <c r="I8" s="387">
        <v>1</v>
      </c>
      <c r="L8" s="322" t="s">
        <v>1396</v>
      </c>
    </row>
    <row r="9" spans="1:15">
      <c r="B9" s="259"/>
      <c r="C9" s="97"/>
      <c r="E9" s="380"/>
      <c r="F9" s="264" t="s">
        <v>1317</v>
      </c>
      <c r="G9" s="322" t="s">
        <v>2174</v>
      </c>
      <c r="I9" s="387">
        <v>1</v>
      </c>
      <c r="L9" s="322" t="s">
        <v>1397</v>
      </c>
    </row>
    <row r="10" spans="1:15">
      <c r="B10" s="259"/>
      <c r="C10" s="97"/>
      <c r="E10" s="380"/>
      <c r="F10" s="264" t="s">
        <v>1317</v>
      </c>
      <c r="G10" s="322" t="s">
        <v>1199</v>
      </c>
      <c r="H10" s="97" t="s">
        <v>2175</v>
      </c>
      <c r="I10" s="387">
        <v>1</v>
      </c>
      <c r="L10" s="322" t="s">
        <v>2176</v>
      </c>
    </row>
    <row r="11" spans="1:15">
      <c r="B11" s="259"/>
      <c r="C11" s="97"/>
      <c r="E11" s="380"/>
      <c r="F11" s="264" t="s">
        <v>1309</v>
      </c>
      <c r="G11" s="322" t="s">
        <v>1228</v>
      </c>
      <c r="H11" s="97" t="s">
        <v>2178</v>
      </c>
      <c r="I11" s="387">
        <v>4</v>
      </c>
      <c r="L11" s="322" t="s">
        <v>2179</v>
      </c>
    </row>
    <row r="12" spans="1:15">
      <c r="B12" s="259"/>
      <c r="C12" s="97"/>
      <c r="E12" s="380"/>
      <c r="F12" s="264" t="s">
        <v>1309</v>
      </c>
      <c r="G12" s="322" t="s">
        <v>1230</v>
      </c>
      <c r="H12" s="97" t="s">
        <v>1623</v>
      </c>
      <c r="I12" s="387">
        <v>4</v>
      </c>
      <c r="L12" s="322" t="s">
        <v>2532</v>
      </c>
    </row>
    <row r="13" spans="1:15">
      <c r="B13" s="259"/>
      <c r="C13" s="97"/>
      <c r="E13" s="380"/>
      <c r="F13" s="264" t="s">
        <v>1309</v>
      </c>
      <c r="G13" s="322" t="s">
        <v>1235</v>
      </c>
      <c r="H13" s="97" t="s">
        <v>1623</v>
      </c>
      <c r="I13" s="387">
        <v>4</v>
      </c>
      <c r="L13" s="322" t="s">
        <v>3676</v>
      </c>
    </row>
    <row r="14" spans="1:15">
      <c r="B14" s="259"/>
      <c r="C14" s="97"/>
      <c r="D14" s="322" t="s">
        <v>1388</v>
      </c>
      <c r="E14" s="380" t="s">
        <v>1311</v>
      </c>
      <c r="F14" s="264"/>
      <c r="H14" s="97" t="s">
        <v>1395</v>
      </c>
      <c r="I14" s="387">
        <v>2</v>
      </c>
      <c r="L14" s="322" t="s">
        <v>1389</v>
      </c>
    </row>
    <row r="15" spans="1:15">
      <c r="B15" s="259"/>
      <c r="C15" s="97"/>
      <c r="E15" s="380"/>
      <c r="F15" s="264" t="s">
        <v>1305</v>
      </c>
      <c r="G15" s="322" t="s">
        <v>1424</v>
      </c>
      <c r="H15" s="97" t="s">
        <v>3733</v>
      </c>
      <c r="I15" s="387">
        <v>1</v>
      </c>
      <c r="L15" s="322" t="s">
        <v>1401</v>
      </c>
    </row>
    <row r="16" spans="1:15">
      <c r="B16" s="259"/>
      <c r="C16" s="97"/>
      <c r="E16" s="380"/>
      <c r="F16" s="264" t="s">
        <v>1317</v>
      </c>
      <c r="G16" s="322" t="s">
        <v>2174</v>
      </c>
      <c r="H16" s="97" t="s">
        <v>3734</v>
      </c>
      <c r="I16" s="387">
        <v>1</v>
      </c>
      <c r="L16" s="322" t="s">
        <v>1402</v>
      </c>
    </row>
    <row r="17" spans="2:12">
      <c r="B17" s="259"/>
      <c r="C17" s="97"/>
      <c r="E17" s="380"/>
      <c r="F17" s="264" t="s">
        <v>1317</v>
      </c>
      <c r="G17" s="322" t="s">
        <v>1199</v>
      </c>
      <c r="H17" s="97" t="s">
        <v>3160</v>
      </c>
      <c r="I17" s="387">
        <v>1</v>
      </c>
      <c r="L17" s="322" t="s">
        <v>2177</v>
      </c>
    </row>
    <row r="18" spans="2:12">
      <c r="B18" s="259"/>
      <c r="C18" s="97"/>
      <c r="E18" s="380"/>
      <c r="F18" s="264" t="s">
        <v>1309</v>
      </c>
      <c r="G18" s="322" t="s">
        <v>1228</v>
      </c>
      <c r="H18" s="97" t="s">
        <v>2178</v>
      </c>
      <c r="I18" s="387">
        <v>4</v>
      </c>
      <c r="L18" s="322" t="s">
        <v>2199</v>
      </c>
    </row>
    <row r="19" spans="2:12">
      <c r="B19" s="259"/>
      <c r="C19" s="97"/>
      <c r="E19" s="380"/>
      <c r="F19" s="264" t="s">
        <v>1309</v>
      </c>
      <c r="G19" s="322" t="s">
        <v>1230</v>
      </c>
      <c r="H19" s="97" t="s">
        <v>1623</v>
      </c>
      <c r="I19" s="387">
        <v>4</v>
      </c>
      <c r="L19" s="322" t="s">
        <v>2533</v>
      </c>
    </row>
    <row r="20" spans="2:12">
      <c r="B20" s="259"/>
      <c r="C20" s="97"/>
      <c r="E20" s="380"/>
      <c r="F20" s="264" t="s">
        <v>1309</v>
      </c>
      <c r="G20" s="322" t="s">
        <v>1235</v>
      </c>
      <c r="H20" s="97" t="s">
        <v>1623</v>
      </c>
      <c r="I20" s="387">
        <v>4</v>
      </c>
      <c r="L20" s="322" t="s">
        <v>3677</v>
      </c>
    </row>
    <row r="22" spans="2:12" ht="28.5">
      <c r="B22" s="259" t="s">
        <v>11</v>
      </c>
      <c r="C22" s="260" t="s">
        <v>42</v>
      </c>
      <c r="D22" s="323"/>
      <c r="E22" s="398"/>
      <c r="F22" s="261"/>
      <c r="G22" s="323"/>
      <c r="H22" s="453" t="s">
        <v>3427</v>
      </c>
      <c r="I22" s="415">
        <v>1</v>
      </c>
      <c r="J22" s="262"/>
      <c r="K22" s="263"/>
      <c r="L22" s="323" t="s">
        <v>1393</v>
      </c>
    </row>
    <row r="23" spans="2:12">
      <c r="B23" s="259"/>
      <c r="C23" s="97"/>
      <c r="D23" s="322" t="s">
        <v>1392</v>
      </c>
      <c r="E23" s="380" t="s">
        <v>1311</v>
      </c>
      <c r="F23" s="264"/>
      <c r="H23" s="97" t="s">
        <v>1431</v>
      </c>
      <c r="I23" s="387">
        <v>1</v>
      </c>
      <c r="L23" s="322" t="s">
        <v>1394</v>
      </c>
    </row>
    <row r="24" spans="2:12">
      <c r="B24" s="259"/>
      <c r="C24" s="97"/>
      <c r="D24" s="322" t="s">
        <v>2208</v>
      </c>
      <c r="E24" s="380" t="s">
        <v>1302</v>
      </c>
      <c r="F24" s="264"/>
      <c r="I24" s="387">
        <v>1</v>
      </c>
      <c r="L24" s="322" t="s">
        <v>2209</v>
      </c>
    </row>
    <row r="25" spans="2:12">
      <c r="B25" s="259"/>
      <c r="C25" s="97"/>
      <c r="E25" s="380"/>
      <c r="F25" s="264" t="s">
        <v>1317</v>
      </c>
      <c r="G25" s="322" t="s">
        <v>2214</v>
      </c>
      <c r="I25" s="387">
        <v>4</v>
      </c>
      <c r="L25" s="322" t="s">
        <v>2210</v>
      </c>
    </row>
    <row r="27" spans="2:12">
      <c r="B27" s="259" t="s">
        <v>11</v>
      </c>
      <c r="C27" s="260" t="s">
        <v>45</v>
      </c>
      <c r="D27" s="323"/>
      <c r="E27" s="398"/>
      <c r="F27" s="261"/>
      <c r="G27" s="323"/>
      <c r="H27" s="260" t="s">
        <v>3428</v>
      </c>
      <c r="I27" s="415">
        <v>1</v>
      </c>
      <c r="J27" s="262"/>
      <c r="K27" s="263"/>
      <c r="L27" s="323" t="s">
        <v>1398</v>
      </c>
    </row>
    <row r="28" spans="2:12">
      <c r="B28" s="259"/>
      <c r="C28" s="265"/>
      <c r="D28" s="324" t="s">
        <v>1425</v>
      </c>
      <c r="E28" s="382" t="s">
        <v>1311</v>
      </c>
      <c r="F28" s="266"/>
      <c r="G28" s="324"/>
      <c r="H28" s="265" t="s">
        <v>3678</v>
      </c>
      <c r="I28" s="416">
        <v>8</v>
      </c>
      <c r="J28" s="267"/>
      <c r="K28" s="268"/>
      <c r="L28" s="324" t="s">
        <v>1428</v>
      </c>
    </row>
    <row r="29" spans="2:12">
      <c r="B29" s="259"/>
      <c r="C29" s="265"/>
      <c r="D29" s="324" t="s">
        <v>1426</v>
      </c>
      <c r="E29" s="382" t="s">
        <v>1311</v>
      </c>
      <c r="F29" s="266"/>
      <c r="G29" s="324"/>
      <c r="H29" s="265" t="s">
        <v>1586</v>
      </c>
      <c r="I29" s="416">
        <v>4</v>
      </c>
      <c r="J29" s="267"/>
      <c r="K29" s="268"/>
      <c r="L29" s="324" t="s">
        <v>1429</v>
      </c>
    </row>
    <row r="30" spans="2:12">
      <c r="B30" s="259"/>
      <c r="C30" s="265"/>
      <c r="D30" s="383" t="s">
        <v>2200</v>
      </c>
      <c r="E30" s="382" t="s">
        <v>1302</v>
      </c>
      <c r="F30" s="266"/>
      <c r="G30" s="324"/>
      <c r="H30" s="381"/>
      <c r="I30" s="416">
        <v>1</v>
      </c>
      <c r="J30" s="267"/>
      <c r="K30" s="268"/>
      <c r="L30" s="324" t="s">
        <v>2201</v>
      </c>
    </row>
    <row r="31" spans="2:12">
      <c r="B31" s="259"/>
      <c r="C31" s="265"/>
      <c r="D31" s="383"/>
      <c r="E31" s="382"/>
      <c r="F31" s="266" t="s">
        <v>1317</v>
      </c>
      <c r="G31" s="324" t="s">
        <v>1199</v>
      </c>
      <c r="H31" s="381" t="s">
        <v>3161</v>
      </c>
      <c r="I31" s="416">
        <v>1</v>
      </c>
      <c r="J31" s="267"/>
      <c r="K31" s="268"/>
      <c r="L31" s="324" t="s">
        <v>2202</v>
      </c>
    </row>
    <row r="33" spans="2:12">
      <c r="B33" s="259" t="s">
        <v>11</v>
      </c>
      <c r="C33" s="260" t="s">
        <v>46</v>
      </c>
      <c r="D33" s="323"/>
      <c r="E33" s="398"/>
      <c r="F33" s="261"/>
      <c r="G33" s="323"/>
      <c r="H33" s="260" t="s">
        <v>3428</v>
      </c>
      <c r="I33" s="415">
        <v>1</v>
      </c>
      <c r="J33" s="262"/>
      <c r="K33" s="263"/>
      <c r="L33" s="323" t="s">
        <v>1400</v>
      </c>
    </row>
    <row r="34" spans="2:12">
      <c r="B34" s="259"/>
      <c r="C34" s="265"/>
      <c r="D34" s="324" t="s">
        <v>1399</v>
      </c>
      <c r="E34" s="382" t="s">
        <v>1311</v>
      </c>
      <c r="F34" s="266"/>
      <c r="G34" s="324"/>
      <c r="H34" s="265" t="s">
        <v>1587</v>
      </c>
      <c r="I34" s="416">
        <v>2</v>
      </c>
      <c r="J34" s="267"/>
      <c r="K34" s="268"/>
      <c r="L34" s="324" t="s">
        <v>1427</v>
      </c>
    </row>
    <row r="35" spans="2:12">
      <c r="B35" s="259"/>
      <c r="C35" s="265"/>
      <c r="D35" s="324" t="s">
        <v>1403</v>
      </c>
      <c r="E35" s="382" t="s">
        <v>1311</v>
      </c>
      <c r="F35" s="266"/>
      <c r="G35" s="324"/>
      <c r="H35" s="265" t="s">
        <v>1929</v>
      </c>
      <c r="I35" s="416">
        <v>2</v>
      </c>
      <c r="J35" s="267"/>
      <c r="K35" s="268"/>
      <c r="L35" s="324" t="s">
        <v>1430</v>
      </c>
    </row>
    <row r="36" spans="2:12">
      <c r="B36" s="259"/>
      <c r="C36" s="265"/>
      <c r="D36" s="324" t="s">
        <v>2203</v>
      </c>
      <c r="E36" s="382" t="s">
        <v>1302</v>
      </c>
      <c r="F36" s="266"/>
      <c r="G36" s="324"/>
      <c r="H36" s="265"/>
      <c r="I36" s="416">
        <v>1</v>
      </c>
      <c r="J36" s="267"/>
      <c r="K36" s="268"/>
      <c r="L36" s="324" t="s">
        <v>2204</v>
      </c>
    </row>
    <row r="37" spans="2:12" ht="28.5">
      <c r="B37" s="259"/>
      <c r="C37" s="265"/>
      <c r="D37" s="324"/>
      <c r="E37" s="382"/>
      <c r="F37" s="266" t="s">
        <v>1317</v>
      </c>
      <c r="G37" s="324" t="s">
        <v>1199</v>
      </c>
      <c r="H37" s="381" t="s">
        <v>3162</v>
      </c>
      <c r="I37" s="416">
        <v>1</v>
      </c>
      <c r="J37" s="267"/>
      <c r="K37" s="268"/>
      <c r="L37" s="324" t="s">
        <v>2205</v>
      </c>
    </row>
    <row r="38" spans="2:12" ht="28.5">
      <c r="B38" s="259"/>
      <c r="C38" s="265"/>
      <c r="D38" s="324"/>
      <c r="E38" s="382"/>
      <c r="F38" s="266" t="s">
        <v>1317</v>
      </c>
      <c r="G38" s="324" t="s">
        <v>1199</v>
      </c>
      <c r="H38" s="381" t="s">
        <v>3164</v>
      </c>
      <c r="I38" s="416">
        <v>1</v>
      </c>
      <c r="J38" s="267"/>
      <c r="K38" s="268"/>
      <c r="L38" s="324" t="s">
        <v>3163</v>
      </c>
    </row>
    <row r="39" spans="2:12">
      <c r="B39" s="259"/>
      <c r="C39" s="265"/>
      <c r="D39" s="324" t="s">
        <v>1510</v>
      </c>
      <c r="E39" s="382" t="s">
        <v>1302</v>
      </c>
      <c r="F39" s="266"/>
      <c r="G39" s="324"/>
      <c r="H39" s="265"/>
      <c r="I39" s="416">
        <v>1</v>
      </c>
      <c r="J39" s="267"/>
      <c r="K39" s="268"/>
      <c r="L39" s="324" t="s">
        <v>2207</v>
      </c>
    </row>
    <row r="40" spans="2:12">
      <c r="B40" s="259"/>
      <c r="C40" s="265"/>
      <c r="D40" s="324" t="s">
        <v>3685</v>
      </c>
      <c r="E40" s="382" t="s">
        <v>1302</v>
      </c>
      <c r="F40" s="266"/>
      <c r="G40" s="324"/>
      <c r="H40" s="265"/>
      <c r="I40" s="416">
        <v>1</v>
      </c>
      <c r="J40" s="267"/>
      <c r="K40" s="268"/>
      <c r="L40" s="324" t="s">
        <v>3679</v>
      </c>
    </row>
    <row r="41" spans="2:12">
      <c r="B41" s="259"/>
      <c r="C41" s="265"/>
      <c r="D41" s="324"/>
      <c r="E41" s="382"/>
      <c r="F41" s="266" t="s">
        <v>1309</v>
      </c>
      <c r="G41" s="324" t="s">
        <v>1228</v>
      </c>
      <c r="H41" s="265" t="s">
        <v>3682</v>
      </c>
      <c r="I41" s="416">
        <v>4</v>
      </c>
      <c r="J41" s="267"/>
      <c r="K41" s="268"/>
      <c r="L41" s="324" t="s">
        <v>3681</v>
      </c>
    </row>
    <row r="42" spans="2:12">
      <c r="B42" s="259"/>
      <c r="C42" s="265"/>
      <c r="D42" s="324"/>
      <c r="E42" s="382"/>
      <c r="F42" s="266" t="s">
        <v>1309</v>
      </c>
      <c r="G42" s="324" t="s">
        <v>1228</v>
      </c>
      <c r="H42" s="265" t="s">
        <v>3683</v>
      </c>
      <c r="I42" s="416">
        <v>4</v>
      </c>
      <c r="J42" s="267"/>
      <c r="K42" s="268"/>
      <c r="L42" s="324" t="s">
        <v>3684</v>
      </c>
    </row>
    <row r="43" spans="2:12">
      <c r="B43" s="259"/>
      <c r="C43" s="265"/>
      <c r="D43" s="324"/>
      <c r="E43" s="382"/>
      <c r="F43" s="266" t="s">
        <v>1309</v>
      </c>
      <c r="G43" s="324" t="s">
        <v>1210</v>
      </c>
      <c r="H43" s="265"/>
      <c r="I43" s="416">
        <v>8</v>
      </c>
      <c r="J43" s="267"/>
      <c r="K43" s="268"/>
      <c r="L43" s="324" t="s">
        <v>3686</v>
      </c>
    </row>
    <row r="44" spans="2:12">
      <c r="B44" s="259"/>
      <c r="C44" s="265"/>
      <c r="D44" s="324"/>
      <c r="E44" s="382"/>
      <c r="F44" s="266" t="s">
        <v>1309</v>
      </c>
      <c r="G44" s="324" t="s">
        <v>1235</v>
      </c>
      <c r="H44" s="265" t="s">
        <v>3732</v>
      </c>
      <c r="I44" s="416">
        <v>8</v>
      </c>
      <c r="J44" s="267"/>
      <c r="K44" s="268"/>
      <c r="L44" s="324" t="s">
        <v>3687</v>
      </c>
    </row>
    <row r="45" spans="2:12">
      <c r="B45" s="259"/>
      <c r="C45" s="265"/>
      <c r="D45" s="324"/>
      <c r="E45" s="382"/>
      <c r="F45" s="266" t="s">
        <v>1309</v>
      </c>
      <c r="G45" s="324" t="s">
        <v>1235</v>
      </c>
      <c r="H45" s="265" t="s">
        <v>3689</v>
      </c>
      <c r="I45" s="416">
        <v>4</v>
      </c>
      <c r="J45" s="267"/>
      <c r="K45" s="268"/>
      <c r="L45" s="324" t="s">
        <v>3688</v>
      </c>
    </row>
    <row r="47" spans="2:12">
      <c r="B47" s="259" t="s">
        <v>11</v>
      </c>
      <c r="C47" s="260" t="s">
        <v>43</v>
      </c>
      <c r="D47" s="323"/>
      <c r="E47" s="398"/>
      <c r="F47" s="261"/>
      <c r="G47" s="323"/>
      <c r="H47" s="260" t="s">
        <v>1406</v>
      </c>
      <c r="I47" s="415">
        <v>1</v>
      </c>
      <c r="J47" s="262"/>
      <c r="K47" s="263"/>
      <c r="L47" s="323" t="s">
        <v>1407</v>
      </c>
    </row>
    <row r="48" spans="2:12">
      <c r="B48" s="259"/>
      <c r="C48" s="97"/>
      <c r="D48" s="322" t="s">
        <v>1405</v>
      </c>
      <c r="E48" s="380" t="s">
        <v>1311</v>
      </c>
      <c r="F48" s="264"/>
      <c r="I48" s="387">
        <v>1</v>
      </c>
      <c r="L48" s="322" t="s">
        <v>1408</v>
      </c>
    </row>
    <row r="49" spans="2:12">
      <c r="B49" s="259"/>
      <c r="C49" s="97"/>
      <c r="D49" s="322" t="s">
        <v>1404</v>
      </c>
      <c r="E49" s="380" t="s">
        <v>1302</v>
      </c>
      <c r="F49" s="264"/>
      <c r="I49" s="387">
        <v>1</v>
      </c>
      <c r="L49" s="322" t="s">
        <v>1409</v>
      </c>
    </row>
    <row r="50" spans="2:12">
      <c r="B50" s="259"/>
      <c r="C50" s="97"/>
      <c r="E50" s="380"/>
      <c r="F50" s="264" t="s">
        <v>1305</v>
      </c>
      <c r="G50" s="322" t="s">
        <v>1009</v>
      </c>
      <c r="H50" s="97" t="s">
        <v>3690</v>
      </c>
      <c r="I50" s="387">
        <v>1</v>
      </c>
      <c r="L50" s="322" t="s">
        <v>1410</v>
      </c>
    </row>
    <row r="51" spans="2:12">
      <c r="B51" s="259"/>
      <c r="C51" s="97"/>
      <c r="E51" s="380"/>
      <c r="F51" s="264" t="s">
        <v>1317</v>
      </c>
      <c r="G51" s="322" t="s">
        <v>1224</v>
      </c>
      <c r="H51" s="97" t="s">
        <v>1411</v>
      </c>
      <c r="I51" s="387">
        <v>6</v>
      </c>
      <c r="L51" s="322" t="s">
        <v>1412</v>
      </c>
    </row>
    <row r="52" spans="2:12">
      <c r="B52" s="259"/>
      <c r="C52" s="97"/>
      <c r="E52" s="380"/>
      <c r="F52" s="264" t="s">
        <v>1317</v>
      </c>
      <c r="G52" s="322" t="s">
        <v>1224</v>
      </c>
      <c r="H52" s="97" t="s">
        <v>1413</v>
      </c>
      <c r="I52" s="387">
        <v>8</v>
      </c>
      <c r="L52" s="322" t="s">
        <v>1414</v>
      </c>
    </row>
    <row r="53" spans="2:12">
      <c r="B53" s="259"/>
      <c r="C53" s="97"/>
      <c r="E53" s="380"/>
      <c r="F53" s="264" t="s">
        <v>1309</v>
      </c>
      <c r="G53" s="322" t="s">
        <v>1237</v>
      </c>
      <c r="I53" s="387">
        <v>6</v>
      </c>
      <c r="L53" s="322" t="s">
        <v>1415</v>
      </c>
    </row>
    <row r="54" spans="2:12">
      <c r="B54" s="259"/>
      <c r="C54" s="97"/>
      <c r="E54" s="380"/>
      <c r="F54" s="264" t="s">
        <v>1305</v>
      </c>
      <c r="G54" s="322" t="s">
        <v>1008</v>
      </c>
      <c r="H54" s="97" t="s">
        <v>3691</v>
      </c>
      <c r="I54" s="387">
        <v>6</v>
      </c>
      <c r="L54" s="322" t="s">
        <v>2278</v>
      </c>
    </row>
    <row r="55" spans="2:12">
      <c r="B55" s="259"/>
      <c r="C55" s="97"/>
      <c r="E55" s="380"/>
      <c r="F55" s="264" t="s">
        <v>1309</v>
      </c>
      <c r="G55" s="322" t="s">
        <v>1228</v>
      </c>
      <c r="H55" s="97" t="s">
        <v>3680</v>
      </c>
      <c r="I55" s="387">
        <v>2</v>
      </c>
      <c r="L55" s="322" t="s">
        <v>2279</v>
      </c>
    </row>
    <row r="56" spans="2:12">
      <c r="B56" s="259"/>
      <c r="C56" s="97"/>
      <c r="E56" s="380"/>
      <c r="F56" s="264" t="s">
        <v>1309</v>
      </c>
      <c r="G56" s="322" t="s">
        <v>1235</v>
      </c>
      <c r="H56" s="97" t="s">
        <v>2280</v>
      </c>
      <c r="I56" s="387">
        <v>8</v>
      </c>
      <c r="L56" s="322" t="s">
        <v>2281</v>
      </c>
    </row>
    <row r="57" spans="2:12">
      <c r="B57" s="259"/>
      <c r="C57" s="97"/>
      <c r="E57" s="380"/>
      <c r="F57" s="264" t="s">
        <v>1309</v>
      </c>
      <c r="G57" s="322" t="s">
        <v>1210</v>
      </c>
      <c r="H57" s="97" t="s">
        <v>2334</v>
      </c>
      <c r="I57" s="387">
        <v>12</v>
      </c>
      <c r="L57" s="322" t="s">
        <v>2399</v>
      </c>
    </row>
    <row r="58" spans="2:12">
      <c r="B58" s="259"/>
      <c r="C58" s="97"/>
      <c r="E58" s="380"/>
      <c r="F58" s="264" t="s">
        <v>1309</v>
      </c>
      <c r="G58" s="322" t="s">
        <v>3692</v>
      </c>
      <c r="H58" s="97" t="s">
        <v>3693</v>
      </c>
      <c r="I58" s="387">
        <v>4</v>
      </c>
      <c r="L58" s="322" t="s">
        <v>3694</v>
      </c>
    </row>
    <row r="59" spans="2:12">
      <c r="B59" s="259"/>
      <c r="C59" s="97"/>
      <c r="D59" s="322" t="s">
        <v>1420</v>
      </c>
      <c r="E59" s="380" t="s">
        <v>1302</v>
      </c>
      <c r="F59" s="264"/>
      <c r="I59" s="387">
        <v>1</v>
      </c>
      <c r="L59" s="322" t="s">
        <v>1421</v>
      </c>
    </row>
    <row r="60" spans="2:12">
      <c r="B60" s="259"/>
      <c r="C60" s="97"/>
      <c r="E60" s="380"/>
      <c r="F60" s="264" t="s">
        <v>1317</v>
      </c>
      <c r="G60" s="322" t="s">
        <v>1422</v>
      </c>
      <c r="H60" s="97" t="s">
        <v>2206</v>
      </c>
      <c r="I60" s="387">
        <v>18</v>
      </c>
      <c r="L60" s="322" t="s">
        <v>1423</v>
      </c>
    </row>
    <row r="61" spans="2:12">
      <c r="B61" s="259"/>
      <c r="C61" s="97"/>
      <c r="E61" s="380"/>
      <c r="F61" s="264" t="s">
        <v>1309</v>
      </c>
      <c r="G61" s="322" t="s">
        <v>1235</v>
      </c>
      <c r="H61" s="97" t="s">
        <v>1432</v>
      </c>
      <c r="I61" s="387">
        <v>8</v>
      </c>
      <c r="L61" s="322" t="s">
        <v>1433</v>
      </c>
    </row>
    <row r="62" spans="2:12">
      <c r="B62" s="259"/>
      <c r="C62" s="97"/>
      <c r="E62" s="380"/>
      <c r="F62" s="264" t="s">
        <v>1309</v>
      </c>
      <c r="G62" s="322" t="s">
        <v>1438</v>
      </c>
      <c r="H62" s="97" t="s">
        <v>1437</v>
      </c>
      <c r="I62" s="387">
        <v>2</v>
      </c>
      <c r="L62" s="322" t="s">
        <v>1434</v>
      </c>
    </row>
    <row r="63" spans="2:12">
      <c r="B63" s="259"/>
      <c r="C63" s="97"/>
      <c r="E63" s="380"/>
      <c r="F63" s="264" t="s">
        <v>1309</v>
      </c>
      <c r="G63" s="322" t="s">
        <v>1438</v>
      </c>
      <c r="H63" s="97" t="s">
        <v>1439</v>
      </c>
      <c r="I63" s="387">
        <v>12</v>
      </c>
      <c r="L63" s="322" t="s">
        <v>1435</v>
      </c>
    </row>
    <row r="64" spans="2:12">
      <c r="B64" s="259"/>
      <c r="C64" s="97"/>
      <c r="E64" s="380"/>
      <c r="F64" s="264" t="s">
        <v>1309</v>
      </c>
      <c r="G64" s="322" t="s">
        <v>1438</v>
      </c>
      <c r="H64" s="97" t="s">
        <v>1440</v>
      </c>
      <c r="I64" s="387">
        <v>12</v>
      </c>
      <c r="L64" s="322" t="s">
        <v>1436</v>
      </c>
    </row>
    <row r="66" spans="1:12">
      <c r="B66" s="259" t="s">
        <v>11</v>
      </c>
      <c r="C66" s="260" t="s">
        <v>44</v>
      </c>
      <c r="D66" s="323"/>
      <c r="E66" s="398"/>
      <c r="F66" s="261"/>
      <c r="G66" s="323"/>
      <c r="H66" s="260" t="s">
        <v>3428</v>
      </c>
      <c r="I66" s="415">
        <v>2</v>
      </c>
      <c r="J66" s="262"/>
      <c r="K66" s="263"/>
      <c r="L66" s="323" t="s">
        <v>1418</v>
      </c>
    </row>
    <row r="67" spans="1:12">
      <c r="B67" s="259"/>
      <c r="C67" s="97"/>
      <c r="D67" s="322" t="s">
        <v>1416</v>
      </c>
      <c r="E67" s="380" t="s">
        <v>1311</v>
      </c>
      <c r="F67" s="264"/>
      <c r="H67" s="97" t="s">
        <v>1417</v>
      </c>
      <c r="I67" s="387">
        <v>1</v>
      </c>
      <c r="L67" s="322" t="s">
        <v>1419</v>
      </c>
    </row>
    <row r="68" spans="1:12" ht="28.5">
      <c r="B68" s="259"/>
      <c r="C68" s="97"/>
      <c r="D68" s="347" t="s">
        <v>2181</v>
      </c>
      <c r="E68" s="380" t="s">
        <v>1311</v>
      </c>
      <c r="F68" s="264"/>
      <c r="H68" s="374" t="s">
        <v>2182</v>
      </c>
      <c r="I68" s="387">
        <v>1</v>
      </c>
      <c r="L68" s="322" t="s">
        <v>2180</v>
      </c>
    </row>
    <row r="69" spans="1:12">
      <c r="B69" s="259"/>
      <c r="C69" s="97"/>
      <c r="D69" s="347" t="s">
        <v>3004</v>
      </c>
      <c r="E69" s="380" t="s">
        <v>1302</v>
      </c>
      <c r="F69" s="264"/>
      <c r="H69" s="374"/>
      <c r="I69" s="387">
        <v>1</v>
      </c>
      <c r="L69" s="322" t="s">
        <v>2212</v>
      </c>
    </row>
    <row r="70" spans="1:12">
      <c r="B70" s="259"/>
      <c r="C70" s="97"/>
      <c r="D70" s="347"/>
      <c r="E70" s="380"/>
      <c r="F70" s="264" t="s">
        <v>1317</v>
      </c>
      <c r="G70" s="322" t="s">
        <v>1199</v>
      </c>
      <c r="H70" s="374" t="s">
        <v>2841</v>
      </c>
      <c r="I70" s="387">
        <v>1</v>
      </c>
      <c r="L70" s="322" t="s">
        <v>2213</v>
      </c>
    </row>
    <row r="71" spans="1:12">
      <c r="B71" s="259"/>
      <c r="C71" s="97"/>
      <c r="D71" s="347"/>
      <c r="E71" s="380"/>
      <c r="F71" s="264" t="s">
        <v>1317</v>
      </c>
      <c r="G71" s="322" t="s">
        <v>1210</v>
      </c>
      <c r="H71" s="374"/>
      <c r="I71" s="387">
        <v>3</v>
      </c>
      <c r="L71" s="322" t="s">
        <v>2403</v>
      </c>
    </row>
    <row r="72" spans="1:12">
      <c r="B72" s="259"/>
      <c r="C72" s="97"/>
      <c r="D72" s="347"/>
      <c r="E72" s="380"/>
      <c r="F72" s="264" t="s">
        <v>1309</v>
      </c>
      <c r="G72" s="322" t="s">
        <v>1228</v>
      </c>
      <c r="H72" s="374" t="s">
        <v>3680</v>
      </c>
      <c r="I72" s="387">
        <v>1</v>
      </c>
      <c r="L72" s="322" t="s">
        <v>2534</v>
      </c>
    </row>
    <row r="73" spans="1:12">
      <c r="B73" s="259"/>
      <c r="C73" s="97"/>
      <c r="D73" s="347"/>
      <c r="E73" s="380"/>
      <c r="F73" s="264" t="s">
        <v>1309</v>
      </c>
      <c r="G73" s="322" t="s">
        <v>1230</v>
      </c>
      <c r="H73" s="374" t="s">
        <v>1565</v>
      </c>
      <c r="I73" s="387">
        <v>1</v>
      </c>
      <c r="L73" s="322" t="s">
        <v>2535</v>
      </c>
    </row>
    <row r="74" spans="1:12">
      <c r="B74" s="259"/>
      <c r="C74" s="97"/>
      <c r="D74" s="347"/>
      <c r="E74" s="380"/>
      <c r="F74" s="264" t="s">
        <v>1309</v>
      </c>
      <c r="G74" s="322" t="s">
        <v>1229</v>
      </c>
      <c r="H74" s="374" t="s">
        <v>2843</v>
      </c>
      <c r="I74" s="387">
        <v>1</v>
      </c>
      <c r="L74" s="322" t="s">
        <v>2536</v>
      </c>
    </row>
    <row r="75" spans="1:12">
      <c r="B75" s="259"/>
      <c r="C75" s="97"/>
      <c r="D75" s="347"/>
      <c r="E75" s="380"/>
      <c r="F75" s="264" t="s">
        <v>1317</v>
      </c>
      <c r="G75" s="322" t="s">
        <v>1199</v>
      </c>
      <c r="H75" s="374" t="s">
        <v>3165</v>
      </c>
      <c r="I75" s="387">
        <v>1</v>
      </c>
      <c r="L75" s="322" t="s">
        <v>2842</v>
      </c>
    </row>
    <row r="76" spans="1:12">
      <c r="B76" s="259"/>
      <c r="C76" s="97"/>
      <c r="D76" s="347"/>
      <c r="E76" s="380"/>
      <c r="F76" s="264"/>
      <c r="H76" s="374"/>
    </row>
    <row r="78" spans="1:12" ht="18">
      <c r="A78" s="158" t="s">
        <v>34</v>
      </c>
      <c r="B78" s="105"/>
      <c r="C78" s="105"/>
      <c r="D78" s="321"/>
      <c r="E78" s="396"/>
      <c r="F78" s="105"/>
      <c r="G78" s="321"/>
      <c r="H78" s="159" t="s">
        <v>1247</v>
      </c>
      <c r="I78" s="414">
        <v>1</v>
      </c>
      <c r="J78" s="134">
        <v>0</v>
      </c>
      <c r="K78" s="161">
        <f>J78*I78</f>
        <v>0</v>
      </c>
      <c r="L78" s="445"/>
    </row>
    <row r="79" spans="1:12" ht="15">
      <c r="A79" s="102"/>
      <c r="B79" s="105"/>
      <c r="C79" s="105"/>
      <c r="D79" s="321"/>
      <c r="E79" s="396"/>
      <c r="F79" s="105"/>
      <c r="G79" s="321"/>
      <c r="H79" s="104"/>
      <c r="I79" s="417"/>
      <c r="J79" s="108"/>
      <c r="K79" s="106"/>
      <c r="L79" s="321"/>
    </row>
    <row r="80" spans="1:12">
      <c r="B80" s="269" t="s">
        <v>12</v>
      </c>
      <c r="C80" s="270" t="s">
        <v>53</v>
      </c>
      <c r="D80" s="325"/>
      <c r="E80" s="399"/>
      <c r="F80" s="271"/>
      <c r="G80" s="325"/>
      <c r="H80" s="270"/>
      <c r="I80" s="418">
        <v>1</v>
      </c>
      <c r="J80" s="272"/>
      <c r="K80" s="273"/>
      <c r="L80" s="325" t="s">
        <v>1442</v>
      </c>
    </row>
    <row r="81" spans="1:12" ht="28.5">
      <c r="B81" s="269"/>
      <c r="C81" s="97"/>
      <c r="D81" s="322" t="s">
        <v>1441</v>
      </c>
      <c r="E81" s="380" t="s">
        <v>1311</v>
      </c>
      <c r="F81" s="264"/>
      <c r="H81" s="374" t="s">
        <v>3429</v>
      </c>
      <c r="I81" s="387">
        <v>1</v>
      </c>
      <c r="L81" s="322" t="s">
        <v>1443</v>
      </c>
    </row>
    <row r="82" spans="1:12" ht="28.5">
      <c r="A82" s="102"/>
      <c r="B82" s="269"/>
      <c r="C82" s="97"/>
      <c r="D82" s="384" t="s">
        <v>2183</v>
      </c>
      <c r="E82" s="380" t="s">
        <v>1302</v>
      </c>
      <c r="F82" s="264"/>
      <c r="I82" s="387">
        <v>2</v>
      </c>
      <c r="L82" s="322" t="s">
        <v>1485</v>
      </c>
    </row>
    <row r="83" spans="1:12" ht="15">
      <c r="A83" s="102"/>
      <c r="B83" s="269"/>
      <c r="C83" s="97"/>
      <c r="E83" s="380"/>
      <c r="F83" s="264" t="s">
        <v>1305</v>
      </c>
      <c r="G83" s="322" t="s">
        <v>1009</v>
      </c>
      <c r="H83" s="97" t="s">
        <v>1486</v>
      </c>
      <c r="I83" s="387">
        <v>1</v>
      </c>
      <c r="L83" s="322" t="s">
        <v>1487</v>
      </c>
    </row>
    <row r="84" spans="1:12" ht="15">
      <c r="A84" s="102"/>
      <c r="B84" s="269"/>
      <c r="C84" s="97"/>
      <c r="E84" s="380"/>
      <c r="F84" s="264" t="s">
        <v>1317</v>
      </c>
      <c r="G84" s="322" t="s">
        <v>1157</v>
      </c>
      <c r="H84" s="97" t="s">
        <v>1777</v>
      </c>
      <c r="I84" s="387">
        <v>1</v>
      </c>
      <c r="L84" s="322" t="s">
        <v>1488</v>
      </c>
    </row>
    <row r="85" spans="1:12" ht="15">
      <c r="A85" s="102"/>
      <c r="B85" s="269"/>
      <c r="C85" s="97"/>
      <c r="E85" s="380"/>
      <c r="F85" s="264" t="s">
        <v>1317</v>
      </c>
      <c r="G85" s="322" t="s">
        <v>1157</v>
      </c>
      <c r="I85" s="387">
        <v>1</v>
      </c>
      <c r="L85" s="322" t="s">
        <v>1489</v>
      </c>
    </row>
    <row r="86" spans="1:12" ht="15">
      <c r="A86" s="102"/>
      <c r="B86" s="269"/>
      <c r="C86" s="97"/>
      <c r="E86" s="380"/>
      <c r="F86" s="264" t="s">
        <v>1309</v>
      </c>
      <c r="G86" s="322" t="s">
        <v>1228</v>
      </c>
      <c r="H86" s="97" t="s">
        <v>2537</v>
      </c>
      <c r="I86" s="387">
        <v>1</v>
      </c>
      <c r="L86" s="322" t="s">
        <v>2538</v>
      </c>
    </row>
    <row r="87" spans="1:12" ht="15">
      <c r="A87" s="102"/>
      <c r="B87" s="269"/>
      <c r="C87" s="97"/>
      <c r="E87" s="380"/>
      <c r="F87" s="264" t="s">
        <v>1317</v>
      </c>
      <c r="G87" s="322" t="s">
        <v>1210</v>
      </c>
      <c r="I87" s="387">
        <v>1</v>
      </c>
      <c r="L87" s="322" t="s">
        <v>2539</v>
      </c>
    </row>
    <row r="88" spans="1:12" ht="15">
      <c r="A88" s="102"/>
      <c r="B88" s="269"/>
      <c r="C88" s="97"/>
      <c r="D88" s="322" t="s">
        <v>2211</v>
      </c>
      <c r="E88" s="380" t="s">
        <v>1302</v>
      </c>
      <c r="F88" s="264"/>
      <c r="I88" s="387">
        <v>1</v>
      </c>
      <c r="L88" s="322" t="s">
        <v>2282</v>
      </c>
    </row>
    <row r="89" spans="1:12" ht="15">
      <c r="A89" s="102"/>
      <c r="B89" s="269"/>
      <c r="C89" s="97"/>
      <c r="E89" s="380"/>
      <c r="F89" s="264" t="s">
        <v>1317</v>
      </c>
      <c r="G89" s="322" t="s">
        <v>1199</v>
      </c>
      <c r="H89" s="97" t="s">
        <v>2283</v>
      </c>
      <c r="I89" s="387">
        <v>1</v>
      </c>
      <c r="L89" s="322" t="s">
        <v>2284</v>
      </c>
    </row>
    <row r="90" spans="1:12" ht="15">
      <c r="A90" s="102"/>
      <c r="B90" s="105"/>
      <c r="C90" s="105"/>
      <c r="D90" s="321"/>
      <c r="E90" s="396"/>
      <c r="F90" s="105"/>
      <c r="G90" s="321"/>
      <c r="H90" s="104"/>
      <c r="I90" s="417"/>
      <c r="J90" s="108"/>
      <c r="K90" s="106"/>
      <c r="L90" s="321"/>
    </row>
    <row r="91" spans="1:12">
      <c r="B91" s="269" t="s">
        <v>12</v>
      </c>
      <c r="C91" s="270" t="s">
        <v>54</v>
      </c>
      <c r="D91" s="325"/>
      <c r="E91" s="399"/>
      <c r="F91" s="271"/>
      <c r="G91" s="325"/>
      <c r="H91" s="270"/>
      <c r="I91" s="418">
        <v>1</v>
      </c>
      <c r="J91" s="272"/>
      <c r="K91" s="273"/>
      <c r="L91" s="325" t="s">
        <v>1444</v>
      </c>
    </row>
    <row r="92" spans="1:12" ht="29.25">
      <c r="A92" s="102"/>
      <c r="B92" s="269"/>
      <c r="C92" s="279"/>
      <c r="D92" s="324" t="s">
        <v>1818</v>
      </c>
      <c r="E92" s="382" t="s">
        <v>1311</v>
      </c>
      <c r="F92" s="266"/>
      <c r="G92" s="324"/>
      <c r="H92" s="381" t="s">
        <v>1817</v>
      </c>
      <c r="I92" s="416">
        <v>2</v>
      </c>
      <c r="J92" s="267"/>
      <c r="K92" s="268"/>
      <c r="L92" s="324" t="s">
        <v>1483</v>
      </c>
    </row>
    <row r="93" spans="1:12" ht="29.25">
      <c r="A93" s="102"/>
      <c r="B93" s="269"/>
      <c r="C93" s="279"/>
      <c r="D93" s="324" t="s">
        <v>1819</v>
      </c>
      <c r="E93" s="382" t="s">
        <v>1311</v>
      </c>
      <c r="F93" s="266"/>
      <c r="G93" s="324"/>
      <c r="H93" s="381" t="s">
        <v>1820</v>
      </c>
      <c r="I93" s="416">
        <v>2</v>
      </c>
      <c r="J93" s="267"/>
      <c r="K93" s="268"/>
      <c r="L93" s="324" t="s">
        <v>1484</v>
      </c>
    </row>
    <row r="94" spans="1:12" ht="28.5">
      <c r="A94" s="102"/>
      <c r="B94" s="269"/>
      <c r="C94" s="279"/>
      <c r="D94" s="383" t="s">
        <v>2287</v>
      </c>
      <c r="E94" s="382" t="s">
        <v>1302</v>
      </c>
      <c r="F94" s="266"/>
      <c r="G94" s="324"/>
      <c r="H94" s="381"/>
      <c r="I94" s="416">
        <v>1</v>
      </c>
      <c r="J94" s="267"/>
      <c r="K94" s="268"/>
      <c r="L94" s="324" t="s">
        <v>2285</v>
      </c>
    </row>
    <row r="95" spans="1:12" ht="15">
      <c r="A95" s="102"/>
      <c r="B95" s="269"/>
      <c r="C95" s="279"/>
      <c r="D95" s="383"/>
      <c r="E95" s="382"/>
      <c r="F95" s="266" t="s">
        <v>1317</v>
      </c>
      <c r="G95" s="324" t="s">
        <v>1199</v>
      </c>
      <c r="H95" s="381" t="s">
        <v>3166</v>
      </c>
      <c r="I95" s="416">
        <v>1</v>
      </c>
      <c r="J95" s="267"/>
      <c r="K95" s="268"/>
      <c r="L95" s="324" t="s">
        <v>2286</v>
      </c>
    </row>
    <row r="96" spans="1:12" ht="15">
      <c r="A96" s="102"/>
      <c r="B96" s="269"/>
      <c r="C96" s="279"/>
      <c r="D96" s="383" t="s">
        <v>2288</v>
      </c>
      <c r="E96" s="382" t="s">
        <v>1302</v>
      </c>
      <c r="F96" s="266"/>
      <c r="G96" s="324"/>
      <c r="H96" s="381"/>
      <c r="I96" s="416">
        <v>1</v>
      </c>
      <c r="J96" s="267"/>
      <c r="K96" s="268"/>
      <c r="L96" s="324" t="s">
        <v>2289</v>
      </c>
    </row>
    <row r="97" spans="1:12" ht="15">
      <c r="A97" s="102"/>
      <c r="B97" s="269"/>
      <c r="C97" s="279"/>
      <c r="D97" s="383"/>
      <c r="E97" s="382"/>
      <c r="F97" s="266" t="s">
        <v>1317</v>
      </c>
      <c r="G97" s="324" t="s">
        <v>1199</v>
      </c>
      <c r="H97" s="381" t="s">
        <v>3166</v>
      </c>
      <c r="I97" s="416">
        <v>1</v>
      </c>
      <c r="J97" s="267"/>
      <c r="K97" s="268"/>
      <c r="L97" s="324" t="s">
        <v>2290</v>
      </c>
    </row>
    <row r="98" spans="1:12" ht="15">
      <c r="A98" s="102"/>
      <c r="B98" s="105"/>
      <c r="C98" s="105"/>
      <c r="D98" s="321"/>
      <c r="E98" s="396"/>
      <c r="F98" s="105"/>
      <c r="G98" s="321"/>
      <c r="H98" s="104"/>
      <c r="I98" s="417"/>
      <c r="J98" s="108"/>
      <c r="K98" s="106"/>
      <c r="L98" s="321"/>
    </row>
    <row r="99" spans="1:12">
      <c r="B99" s="269" t="s">
        <v>12</v>
      </c>
      <c r="C99" s="270" t="s">
        <v>61</v>
      </c>
      <c r="D99" s="325"/>
      <c r="E99" s="399"/>
      <c r="F99" s="271"/>
      <c r="G99" s="325"/>
      <c r="H99" s="270" t="s">
        <v>3428</v>
      </c>
      <c r="I99" s="418">
        <v>1</v>
      </c>
      <c r="J99" s="272"/>
      <c r="K99" s="273"/>
      <c r="L99" s="325" t="s">
        <v>1447</v>
      </c>
    </row>
    <row r="100" spans="1:12">
      <c r="B100" s="269"/>
      <c r="C100" s="97"/>
      <c r="D100" s="322" t="s">
        <v>61</v>
      </c>
      <c r="E100" s="380" t="s">
        <v>1311</v>
      </c>
      <c r="F100" s="264"/>
      <c r="H100" s="374" t="s">
        <v>3969</v>
      </c>
      <c r="I100" s="387">
        <v>1</v>
      </c>
      <c r="L100" s="322" t="s">
        <v>1448</v>
      </c>
    </row>
    <row r="101" spans="1:12" ht="28.5">
      <c r="A101" s="102"/>
      <c r="B101" s="269"/>
      <c r="C101" s="97"/>
      <c r="D101" s="347" t="s">
        <v>1816</v>
      </c>
      <c r="E101" s="380" t="s">
        <v>1311</v>
      </c>
      <c r="F101" s="264"/>
      <c r="I101" s="387">
        <v>1</v>
      </c>
      <c r="L101" s="322" t="s">
        <v>1815</v>
      </c>
    </row>
    <row r="102" spans="1:12" ht="15">
      <c r="A102" s="102"/>
      <c r="B102" s="269"/>
      <c r="C102" s="97"/>
      <c r="D102" s="347" t="s">
        <v>3004</v>
      </c>
      <c r="E102" s="380" t="s">
        <v>1302</v>
      </c>
      <c r="F102" s="264"/>
      <c r="I102" s="387">
        <v>1</v>
      </c>
      <c r="L102" s="322" t="s">
        <v>2540</v>
      </c>
    </row>
    <row r="103" spans="1:12" ht="15">
      <c r="A103" s="102"/>
      <c r="B103" s="269"/>
      <c r="C103" s="97"/>
      <c r="D103" s="347"/>
      <c r="E103" s="380"/>
      <c r="F103" s="264" t="s">
        <v>1317</v>
      </c>
      <c r="G103" s="322" t="s">
        <v>1199</v>
      </c>
      <c r="H103" s="97" t="s">
        <v>2541</v>
      </c>
      <c r="I103" s="387">
        <v>1</v>
      </c>
      <c r="L103" s="322" t="s">
        <v>2542</v>
      </c>
    </row>
    <row r="104" spans="1:12" ht="15">
      <c r="A104" s="102"/>
      <c r="B104" s="269"/>
      <c r="C104" s="97"/>
      <c r="D104" s="347"/>
      <c r="E104" s="380"/>
      <c r="F104" s="264" t="s">
        <v>1317</v>
      </c>
      <c r="G104" s="322" t="s">
        <v>660</v>
      </c>
      <c r="H104" s="97" t="s">
        <v>2543</v>
      </c>
      <c r="I104" s="387">
        <v>1</v>
      </c>
      <c r="L104" s="322" t="s">
        <v>2544</v>
      </c>
    </row>
    <row r="105" spans="1:12" ht="28.5">
      <c r="A105" s="102"/>
      <c r="B105" s="269"/>
      <c r="C105" s="97"/>
      <c r="D105" s="347"/>
      <c r="E105" s="380"/>
      <c r="F105" s="380" t="s">
        <v>1317</v>
      </c>
      <c r="G105" s="322" t="s">
        <v>1199</v>
      </c>
      <c r="H105" s="347" t="s">
        <v>3167</v>
      </c>
      <c r="I105" s="387">
        <v>1</v>
      </c>
      <c r="L105" s="322" t="s">
        <v>2545</v>
      </c>
    </row>
    <row r="106" spans="1:12" ht="15">
      <c r="A106" s="102"/>
      <c r="B106" s="269"/>
      <c r="C106" s="97"/>
      <c r="D106" s="347"/>
      <c r="E106" s="380"/>
      <c r="F106" s="380" t="s">
        <v>1309</v>
      </c>
      <c r="G106" s="322" t="s">
        <v>1229</v>
      </c>
      <c r="H106" s="347"/>
      <c r="I106" s="387">
        <v>2</v>
      </c>
      <c r="L106" s="322" t="s">
        <v>3005</v>
      </c>
    </row>
    <row r="107" spans="1:12" ht="15">
      <c r="A107" s="102"/>
      <c r="B107" s="269"/>
      <c r="C107" s="97"/>
      <c r="D107" s="347"/>
      <c r="E107" s="380"/>
      <c r="F107" s="380" t="s">
        <v>1317</v>
      </c>
      <c r="G107" s="322" t="s">
        <v>1210</v>
      </c>
      <c r="H107" s="347"/>
      <c r="I107" s="387">
        <v>2</v>
      </c>
      <c r="L107" s="322" t="s">
        <v>3006</v>
      </c>
    </row>
    <row r="108" spans="1:12" ht="15">
      <c r="A108" s="102"/>
      <c r="B108" s="105"/>
      <c r="C108" s="105"/>
      <c r="D108" s="321"/>
      <c r="E108" s="396"/>
      <c r="F108" s="105"/>
      <c r="G108" s="321"/>
      <c r="H108" s="104"/>
      <c r="I108" s="417"/>
      <c r="J108" s="108"/>
      <c r="K108" s="106"/>
      <c r="L108" s="321"/>
    </row>
    <row r="109" spans="1:12">
      <c r="B109" s="269" t="s">
        <v>12</v>
      </c>
      <c r="C109" s="270" t="s">
        <v>60</v>
      </c>
      <c r="D109" s="325"/>
      <c r="E109" s="399"/>
      <c r="F109" s="271"/>
      <c r="G109" s="325"/>
      <c r="H109" s="270" t="s">
        <v>3428</v>
      </c>
      <c r="I109" s="418">
        <v>1</v>
      </c>
      <c r="J109" s="272"/>
      <c r="K109" s="273"/>
      <c r="L109" s="325" t="s">
        <v>1450</v>
      </c>
    </row>
    <row r="110" spans="1:12">
      <c r="B110" s="269"/>
      <c r="C110" s="97"/>
      <c r="D110" s="322" t="s">
        <v>1449</v>
      </c>
      <c r="E110" s="380" t="s">
        <v>1311</v>
      </c>
      <c r="F110" s="264"/>
      <c r="I110" s="387">
        <v>1</v>
      </c>
      <c r="L110" s="322" t="s">
        <v>1451</v>
      </c>
    </row>
    <row r="111" spans="1:12" ht="15">
      <c r="A111" s="102"/>
      <c r="B111" s="269"/>
      <c r="C111" s="97"/>
      <c r="D111" s="322" t="s">
        <v>2211</v>
      </c>
      <c r="E111" s="380" t="s">
        <v>1302</v>
      </c>
      <c r="F111" s="264"/>
      <c r="I111" s="387">
        <v>1</v>
      </c>
      <c r="L111" s="322" t="s">
        <v>2549</v>
      </c>
    </row>
    <row r="112" spans="1:12" ht="15">
      <c r="A112" s="102"/>
      <c r="B112" s="269"/>
      <c r="C112" s="97"/>
      <c r="E112" s="380"/>
      <c r="F112" s="264" t="s">
        <v>1317</v>
      </c>
      <c r="G112" s="322" t="s">
        <v>1199</v>
      </c>
      <c r="H112" s="97" t="s">
        <v>2550</v>
      </c>
      <c r="I112" s="387">
        <v>1</v>
      </c>
      <c r="L112" s="322" t="s">
        <v>2551</v>
      </c>
    </row>
    <row r="113" spans="1:12" ht="15">
      <c r="A113" s="102"/>
      <c r="B113" s="269"/>
      <c r="C113" s="97"/>
      <c r="E113" s="380"/>
      <c r="F113" s="264" t="s">
        <v>1309</v>
      </c>
      <c r="G113" s="322" t="s">
        <v>1229</v>
      </c>
      <c r="I113" s="387">
        <v>1</v>
      </c>
      <c r="L113" s="322" t="s">
        <v>2552</v>
      </c>
    </row>
    <row r="114" spans="1:12" ht="15">
      <c r="A114" s="102"/>
      <c r="B114" s="105"/>
      <c r="C114" s="105"/>
      <c r="D114" s="321"/>
      <c r="E114" s="396"/>
      <c r="F114" s="105"/>
      <c r="G114" s="321"/>
      <c r="H114" s="104"/>
      <c r="I114" s="417"/>
      <c r="J114" s="108"/>
      <c r="K114" s="106"/>
      <c r="L114" s="321"/>
    </row>
    <row r="115" spans="1:12">
      <c r="B115" s="269" t="s">
        <v>12</v>
      </c>
      <c r="C115" s="270" t="s">
        <v>29</v>
      </c>
      <c r="D115" s="325"/>
      <c r="E115" s="399"/>
      <c r="F115" s="271"/>
      <c r="G115" s="325"/>
      <c r="H115" s="270" t="s">
        <v>3428</v>
      </c>
      <c r="I115" s="418">
        <v>1</v>
      </c>
      <c r="J115" s="272"/>
      <c r="K115" s="273"/>
      <c r="L115" s="325" t="s">
        <v>1452</v>
      </c>
    </row>
    <row r="116" spans="1:12">
      <c r="B116" s="269"/>
      <c r="C116" s="97"/>
      <c r="D116" s="322" t="s">
        <v>29</v>
      </c>
      <c r="E116" s="380" t="s">
        <v>1311</v>
      </c>
      <c r="F116" s="264"/>
      <c r="I116" s="387">
        <v>1</v>
      </c>
      <c r="L116" s="322" t="s">
        <v>1453</v>
      </c>
    </row>
    <row r="117" spans="1:12" ht="15">
      <c r="A117" s="102"/>
      <c r="B117" s="269"/>
      <c r="C117" s="97"/>
      <c r="D117" s="322" t="s">
        <v>2211</v>
      </c>
      <c r="E117" s="380" t="s">
        <v>1302</v>
      </c>
      <c r="F117" s="264"/>
      <c r="I117" s="387">
        <v>1</v>
      </c>
      <c r="L117" s="322" t="s">
        <v>2547</v>
      </c>
    </row>
    <row r="118" spans="1:12" ht="15">
      <c r="A118" s="102"/>
      <c r="B118" s="269"/>
      <c r="C118" s="97"/>
      <c r="E118" s="380"/>
      <c r="F118" s="264" t="s">
        <v>1317</v>
      </c>
      <c r="G118" s="322" t="s">
        <v>1199</v>
      </c>
      <c r="H118" s="97" t="s">
        <v>3168</v>
      </c>
      <c r="I118" s="387">
        <v>1</v>
      </c>
      <c r="L118" s="322" t="s">
        <v>2548</v>
      </c>
    </row>
    <row r="119" spans="1:12" ht="15">
      <c r="A119" s="102"/>
      <c r="B119" s="269"/>
      <c r="C119" s="97"/>
      <c r="E119" s="380"/>
      <c r="F119" s="264" t="s">
        <v>1309</v>
      </c>
      <c r="G119" s="322" t="s">
        <v>1229</v>
      </c>
      <c r="I119" s="387">
        <v>1</v>
      </c>
      <c r="L119" s="322" t="s">
        <v>2553</v>
      </c>
    </row>
    <row r="120" spans="1:12" ht="15">
      <c r="A120" s="102"/>
      <c r="B120" s="269"/>
      <c r="C120" s="97"/>
      <c r="E120" s="380"/>
      <c r="F120" s="264" t="s">
        <v>1317</v>
      </c>
      <c r="G120" s="322" t="s">
        <v>1199</v>
      </c>
      <c r="H120" s="97" t="s">
        <v>3372</v>
      </c>
      <c r="I120" s="387">
        <v>1</v>
      </c>
      <c r="L120" s="322" t="s">
        <v>3373</v>
      </c>
    </row>
    <row r="121" spans="1:12" ht="15">
      <c r="A121" s="102"/>
      <c r="B121" s="269"/>
      <c r="C121" s="97"/>
      <c r="D121" s="322" t="s">
        <v>3370</v>
      </c>
      <c r="E121" s="380" t="s">
        <v>1311</v>
      </c>
      <c r="F121" s="264"/>
      <c r="I121" s="387">
        <v>1</v>
      </c>
      <c r="L121" s="322" t="s">
        <v>3371</v>
      </c>
    </row>
    <row r="122" spans="1:12" ht="15">
      <c r="A122" s="102"/>
      <c r="B122" s="105"/>
      <c r="C122" s="105"/>
      <c r="D122" s="321"/>
      <c r="E122" s="396"/>
      <c r="F122" s="105"/>
      <c r="G122" s="321"/>
      <c r="H122" s="104"/>
      <c r="I122" s="417"/>
      <c r="J122" s="108"/>
      <c r="K122" s="106"/>
      <c r="L122" s="321"/>
    </row>
    <row r="123" spans="1:12">
      <c r="B123" s="269" t="s">
        <v>12</v>
      </c>
      <c r="C123" s="270" t="s">
        <v>72</v>
      </c>
      <c r="D123" s="325"/>
      <c r="E123" s="399"/>
      <c r="F123" s="271"/>
      <c r="G123" s="325"/>
      <c r="H123" s="270"/>
      <c r="I123" s="418">
        <v>1</v>
      </c>
      <c r="J123" s="272"/>
      <c r="K123" s="273"/>
      <c r="L123" s="325" t="s">
        <v>1454</v>
      </c>
    </row>
    <row r="124" spans="1:12">
      <c r="B124" s="269"/>
      <c r="C124" s="97"/>
      <c r="D124" s="322" t="s">
        <v>1479</v>
      </c>
      <c r="E124" s="380" t="s">
        <v>1302</v>
      </c>
      <c r="F124" s="264"/>
      <c r="I124" s="387">
        <v>1</v>
      </c>
      <c r="L124" s="322" t="s">
        <v>1455</v>
      </c>
    </row>
    <row r="125" spans="1:12">
      <c r="B125" s="269"/>
      <c r="C125" s="97"/>
      <c r="E125" s="380"/>
      <c r="F125" s="264" t="s">
        <v>1305</v>
      </c>
      <c r="G125" s="322" t="s">
        <v>1009</v>
      </c>
      <c r="H125" s="97" t="s">
        <v>2787</v>
      </c>
      <c r="I125" s="387">
        <v>1</v>
      </c>
      <c r="L125" s="322" t="s">
        <v>1456</v>
      </c>
    </row>
    <row r="126" spans="1:12">
      <c r="B126" s="269"/>
      <c r="C126" s="97"/>
      <c r="E126" s="380"/>
      <c r="F126" s="264" t="s">
        <v>1317</v>
      </c>
      <c r="G126" s="322" t="s">
        <v>1157</v>
      </c>
      <c r="H126" s="97" t="s">
        <v>1446</v>
      </c>
      <c r="I126" s="387">
        <v>1</v>
      </c>
      <c r="L126" s="322" t="s">
        <v>1457</v>
      </c>
    </row>
    <row r="127" spans="1:12">
      <c r="B127" s="269"/>
      <c r="C127" s="97"/>
      <c r="E127" s="380"/>
      <c r="F127" s="264" t="s">
        <v>1317</v>
      </c>
      <c r="G127" s="322" t="s">
        <v>1157</v>
      </c>
      <c r="H127" s="97" t="s">
        <v>1445</v>
      </c>
      <c r="I127" s="387">
        <v>1</v>
      </c>
      <c r="L127" s="322" t="s">
        <v>1458</v>
      </c>
    </row>
    <row r="128" spans="1:12">
      <c r="B128" s="269"/>
      <c r="C128" s="97"/>
      <c r="E128" s="380"/>
      <c r="F128" s="264" t="s">
        <v>1317</v>
      </c>
      <c r="G128" s="322" t="s">
        <v>1199</v>
      </c>
      <c r="H128" s="97" t="s">
        <v>2558</v>
      </c>
      <c r="I128" s="387">
        <v>1</v>
      </c>
      <c r="L128" s="322" t="s">
        <v>1459</v>
      </c>
    </row>
    <row r="129" spans="1:12">
      <c r="B129" s="269"/>
      <c r="C129" s="97"/>
      <c r="E129" s="380"/>
      <c r="F129" s="264" t="s">
        <v>1317</v>
      </c>
      <c r="G129" s="322" t="s">
        <v>1210</v>
      </c>
      <c r="H129" s="97" t="s">
        <v>2409</v>
      </c>
      <c r="I129" s="387">
        <v>1</v>
      </c>
      <c r="L129" s="322" t="s">
        <v>1460</v>
      </c>
    </row>
    <row r="130" spans="1:12">
      <c r="B130" s="269"/>
      <c r="C130" s="97"/>
      <c r="E130" s="380"/>
      <c r="F130" s="264" t="s">
        <v>1309</v>
      </c>
      <c r="G130" s="322" t="s">
        <v>1228</v>
      </c>
      <c r="H130" s="97" t="s">
        <v>2554</v>
      </c>
      <c r="I130" s="387">
        <v>1</v>
      </c>
      <c r="L130" s="322" t="s">
        <v>2555</v>
      </c>
    </row>
    <row r="131" spans="1:12" ht="15">
      <c r="A131" s="102"/>
      <c r="B131" s="269"/>
      <c r="C131" s="97"/>
      <c r="D131" s="326" t="s">
        <v>1480</v>
      </c>
      <c r="E131" s="380" t="s">
        <v>1302</v>
      </c>
      <c r="F131" s="264"/>
      <c r="I131" s="387">
        <v>1</v>
      </c>
      <c r="L131" s="322" t="s">
        <v>1461</v>
      </c>
    </row>
    <row r="132" spans="1:12" ht="15">
      <c r="A132" s="102"/>
      <c r="B132" s="269"/>
      <c r="C132" s="97"/>
      <c r="E132" s="380"/>
      <c r="F132" s="264" t="s">
        <v>1305</v>
      </c>
      <c r="G132" s="322" t="s">
        <v>1009</v>
      </c>
      <c r="H132" s="97" t="s">
        <v>2556</v>
      </c>
      <c r="I132" s="387">
        <v>1</v>
      </c>
      <c r="L132" s="322" t="s">
        <v>1462</v>
      </c>
    </row>
    <row r="133" spans="1:12" ht="15">
      <c r="A133" s="102"/>
      <c r="B133" s="269"/>
      <c r="C133" s="97"/>
      <c r="E133" s="380"/>
      <c r="F133" s="264" t="s">
        <v>1317</v>
      </c>
      <c r="G133" s="322" t="s">
        <v>1157</v>
      </c>
      <c r="H133" s="97" t="s">
        <v>2410</v>
      </c>
      <c r="I133" s="387">
        <v>2</v>
      </c>
      <c r="L133" s="322" t="s">
        <v>1463</v>
      </c>
    </row>
    <row r="134" spans="1:12" ht="29.25">
      <c r="A134" s="102"/>
      <c r="B134" s="269"/>
      <c r="C134" s="97"/>
      <c r="E134" s="380"/>
      <c r="F134" s="264" t="s">
        <v>1317</v>
      </c>
      <c r="G134" s="322" t="s">
        <v>1199</v>
      </c>
      <c r="H134" s="374" t="s">
        <v>3169</v>
      </c>
      <c r="I134" s="387">
        <v>1</v>
      </c>
      <c r="L134" s="322" t="s">
        <v>1464</v>
      </c>
    </row>
    <row r="135" spans="1:12" ht="15">
      <c r="A135" s="102"/>
      <c r="B135" s="269"/>
      <c r="C135" s="97"/>
      <c r="E135" s="380"/>
      <c r="F135" s="264" t="s">
        <v>1309</v>
      </c>
      <c r="G135" s="322" t="s">
        <v>1228</v>
      </c>
      <c r="I135" s="387">
        <v>6</v>
      </c>
      <c r="L135" s="322" t="s">
        <v>1466</v>
      </c>
    </row>
    <row r="136" spans="1:12" ht="15">
      <c r="A136" s="102"/>
      <c r="B136" s="269"/>
      <c r="C136" s="97"/>
      <c r="E136" s="380"/>
      <c r="F136" s="264" t="s">
        <v>1309</v>
      </c>
      <c r="G136" s="322" t="s">
        <v>1210</v>
      </c>
      <c r="H136" s="97" t="s">
        <v>1465</v>
      </c>
      <c r="I136" s="387">
        <v>6</v>
      </c>
      <c r="L136" s="322" t="s">
        <v>2400</v>
      </c>
    </row>
    <row r="137" spans="1:12" ht="15">
      <c r="A137" s="102"/>
      <c r="B137" s="269"/>
      <c r="C137" s="97"/>
      <c r="D137" s="347" t="s">
        <v>2559</v>
      </c>
      <c r="E137" s="380" t="s">
        <v>1302</v>
      </c>
      <c r="F137" s="264"/>
      <c r="I137" s="387">
        <v>1</v>
      </c>
      <c r="L137" s="322" t="s">
        <v>2557</v>
      </c>
    </row>
    <row r="138" spans="1:12" ht="15">
      <c r="A138" s="102"/>
      <c r="B138" s="269"/>
      <c r="C138" s="97"/>
      <c r="D138" s="347"/>
      <c r="E138" s="380"/>
      <c r="F138" s="264" t="s">
        <v>1305</v>
      </c>
      <c r="G138" s="322" t="s">
        <v>1007</v>
      </c>
      <c r="H138" s="97" t="s">
        <v>1362</v>
      </c>
      <c r="I138" s="387">
        <v>1</v>
      </c>
      <c r="L138" s="322" t="s">
        <v>2560</v>
      </c>
    </row>
    <row r="139" spans="1:12" ht="15">
      <c r="A139" s="102"/>
      <c r="B139" s="269"/>
      <c r="C139" s="97"/>
      <c r="D139" s="347"/>
      <c r="E139" s="380"/>
      <c r="F139" s="264" t="s">
        <v>1317</v>
      </c>
      <c r="G139" s="322" t="s">
        <v>1157</v>
      </c>
      <c r="H139" s="97" t="s">
        <v>1339</v>
      </c>
      <c r="I139" s="387">
        <v>1</v>
      </c>
      <c r="L139" s="322" t="s">
        <v>2561</v>
      </c>
    </row>
    <row r="140" spans="1:12" ht="15">
      <c r="A140" s="102"/>
      <c r="B140" s="269"/>
      <c r="C140" s="97"/>
      <c r="D140" s="347"/>
      <c r="E140" s="380"/>
      <c r="F140" s="264" t="s">
        <v>1317</v>
      </c>
      <c r="G140" s="322" t="s">
        <v>1157</v>
      </c>
      <c r="H140" s="97" t="s">
        <v>2562</v>
      </c>
      <c r="I140" s="387">
        <v>1</v>
      </c>
      <c r="L140" s="322" t="s">
        <v>2563</v>
      </c>
    </row>
    <row r="141" spans="1:12" ht="15">
      <c r="A141" s="102"/>
      <c r="B141" s="269"/>
      <c r="C141" s="97"/>
      <c r="D141" s="347"/>
      <c r="E141" s="380"/>
      <c r="F141" s="264" t="s">
        <v>1317</v>
      </c>
      <c r="G141" s="322" t="s">
        <v>1223</v>
      </c>
      <c r="H141" s="97" t="s">
        <v>2564</v>
      </c>
      <c r="I141" s="387">
        <v>1</v>
      </c>
      <c r="L141" s="322" t="s">
        <v>2565</v>
      </c>
    </row>
    <row r="142" spans="1:12" ht="15">
      <c r="A142" s="102"/>
      <c r="B142" s="269"/>
      <c r="C142" s="97"/>
      <c r="D142" s="347"/>
      <c r="E142" s="380"/>
      <c r="F142" s="264" t="s">
        <v>1317</v>
      </c>
      <c r="G142" s="322" t="s">
        <v>1199</v>
      </c>
      <c r="H142" s="97" t="s">
        <v>53</v>
      </c>
      <c r="I142" s="387">
        <v>1</v>
      </c>
      <c r="L142" s="322" t="s">
        <v>2566</v>
      </c>
    </row>
    <row r="143" spans="1:12" ht="15">
      <c r="A143" s="102"/>
      <c r="B143" s="105"/>
      <c r="C143" s="105"/>
      <c r="D143" s="321"/>
      <c r="E143" s="396"/>
      <c r="F143" s="105"/>
      <c r="G143" s="321"/>
      <c r="H143" s="104"/>
      <c r="I143" s="417"/>
      <c r="J143" s="108"/>
      <c r="K143" s="106"/>
      <c r="L143" s="321"/>
    </row>
    <row r="144" spans="1:12">
      <c r="B144" s="269" t="s">
        <v>12</v>
      </c>
      <c r="C144" s="270" t="s">
        <v>50</v>
      </c>
      <c r="D144" s="325"/>
      <c r="E144" s="399"/>
      <c r="F144" s="271"/>
      <c r="G144" s="325"/>
      <c r="H144" s="270" t="s">
        <v>3428</v>
      </c>
      <c r="I144" s="418">
        <v>1</v>
      </c>
      <c r="J144" s="272"/>
      <c r="K144" s="273"/>
      <c r="L144" s="325" t="s">
        <v>1481</v>
      </c>
    </row>
    <row r="145" spans="1:12">
      <c r="B145" s="269"/>
      <c r="C145" s="97"/>
      <c r="D145" s="322" t="s">
        <v>491</v>
      </c>
      <c r="E145" s="380" t="s">
        <v>1302</v>
      </c>
      <c r="F145" s="264"/>
      <c r="H145" s="97" t="s">
        <v>2184</v>
      </c>
      <c r="I145" s="387">
        <v>1</v>
      </c>
      <c r="L145" s="322" t="s">
        <v>1482</v>
      </c>
    </row>
    <row r="146" spans="1:12">
      <c r="B146" s="269"/>
      <c r="C146" s="97"/>
      <c r="E146" s="380"/>
      <c r="F146" s="264" t="s">
        <v>1317</v>
      </c>
      <c r="G146" s="322" t="s">
        <v>2185</v>
      </c>
      <c r="I146" s="387">
        <v>1</v>
      </c>
      <c r="L146" s="322" t="s">
        <v>2186</v>
      </c>
    </row>
    <row r="147" spans="1:12">
      <c r="B147" s="269"/>
      <c r="C147" s="97"/>
      <c r="E147" s="380"/>
      <c r="F147" s="264" t="s">
        <v>1317</v>
      </c>
      <c r="G147" s="322" t="s">
        <v>1199</v>
      </c>
      <c r="H147" s="97" t="s">
        <v>3170</v>
      </c>
      <c r="I147" s="387">
        <v>1</v>
      </c>
      <c r="L147" s="322" t="s">
        <v>2291</v>
      </c>
    </row>
    <row r="148" spans="1:12">
      <c r="B148" s="269"/>
      <c r="C148" s="97"/>
      <c r="E148" s="380"/>
      <c r="F148" s="264" t="s">
        <v>1317</v>
      </c>
      <c r="G148" s="322" t="s">
        <v>1199</v>
      </c>
      <c r="H148" s="97" t="s">
        <v>3171</v>
      </c>
      <c r="I148" s="387">
        <v>1</v>
      </c>
      <c r="L148" s="322" t="s">
        <v>2292</v>
      </c>
    </row>
    <row r="149" spans="1:12" ht="15">
      <c r="A149" s="102"/>
      <c r="B149" s="269"/>
      <c r="C149" s="97"/>
      <c r="D149" s="322" t="s">
        <v>4020</v>
      </c>
      <c r="E149" s="380" t="s">
        <v>1302</v>
      </c>
      <c r="F149" s="264"/>
      <c r="I149" s="387">
        <v>1</v>
      </c>
      <c r="L149" s="322" t="s">
        <v>3985</v>
      </c>
    </row>
    <row r="150" spans="1:12" ht="15">
      <c r="A150" s="102"/>
      <c r="B150" s="269"/>
      <c r="C150" s="97"/>
      <c r="E150" s="380"/>
      <c r="F150" s="264" t="s">
        <v>1305</v>
      </c>
      <c r="G150" s="322" t="s">
        <v>1009</v>
      </c>
      <c r="I150" s="387">
        <v>1</v>
      </c>
      <c r="L150" s="322" t="s">
        <v>3986</v>
      </c>
    </row>
    <row r="151" spans="1:12" ht="15">
      <c r="A151" s="102"/>
      <c r="B151" s="269"/>
      <c r="C151" s="97"/>
      <c r="E151" s="380"/>
      <c r="F151" s="264" t="s">
        <v>1317</v>
      </c>
      <c r="G151" s="322" t="s">
        <v>1156</v>
      </c>
      <c r="I151" s="387">
        <v>1</v>
      </c>
      <c r="L151" s="322" t="s">
        <v>3987</v>
      </c>
    </row>
    <row r="152" spans="1:12" ht="15">
      <c r="A152" s="102"/>
      <c r="B152" s="269"/>
      <c r="C152" s="97"/>
      <c r="E152" s="380"/>
      <c r="F152" s="264" t="s">
        <v>1317</v>
      </c>
      <c r="G152" s="322" t="s">
        <v>1711</v>
      </c>
      <c r="I152" s="387">
        <v>2</v>
      </c>
      <c r="L152" s="322" t="s">
        <v>3988</v>
      </c>
    </row>
    <row r="153" spans="1:12" ht="15">
      <c r="A153" s="102"/>
      <c r="B153" s="269"/>
      <c r="C153" s="97"/>
      <c r="E153" s="380"/>
      <c r="F153" s="264" t="s">
        <v>1317</v>
      </c>
      <c r="G153" s="322" t="s">
        <v>1199</v>
      </c>
      <c r="H153" s="97" t="s">
        <v>3989</v>
      </c>
      <c r="I153" s="387">
        <v>1</v>
      </c>
      <c r="L153" s="322" t="s">
        <v>3990</v>
      </c>
    </row>
    <row r="154" spans="1:12" ht="15">
      <c r="A154" s="102"/>
      <c r="B154" s="269"/>
      <c r="C154" s="97"/>
      <c r="E154" s="380"/>
      <c r="F154" s="264" t="s">
        <v>1317</v>
      </c>
      <c r="G154" s="322" t="s">
        <v>1199</v>
      </c>
      <c r="H154" s="97" t="s">
        <v>3418</v>
      </c>
      <c r="I154" s="387">
        <v>1</v>
      </c>
      <c r="L154" s="322" t="s">
        <v>3991</v>
      </c>
    </row>
    <row r="155" spans="1:12" ht="15">
      <c r="A155" s="102"/>
      <c r="B155" s="269"/>
      <c r="C155" s="97"/>
      <c r="E155" s="380"/>
      <c r="F155" s="264" t="s">
        <v>1309</v>
      </c>
      <c r="G155" s="322" t="s">
        <v>1228</v>
      </c>
      <c r="H155" s="97" t="s">
        <v>2505</v>
      </c>
      <c r="I155" s="387">
        <v>2</v>
      </c>
      <c r="L155" s="322" t="s">
        <v>3992</v>
      </c>
    </row>
    <row r="156" spans="1:12" ht="15">
      <c r="A156" s="102"/>
      <c r="B156" s="269"/>
      <c r="C156" s="97"/>
      <c r="E156" s="380"/>
      <c r="F156" s="264" t="s">
        <v>1309</v>
      </c>
      <c r="G156" s="322" t="s">
        <v>1230</v>
      </c>
      <c r="H156" s="97" t="s">
        <v>2034</v>
      </c>
      <c r="I156" s="387">
        <v>2</v>
      </c>
      <c r="L156" s="322" t="s">
        <v>3993</v>
      </c>
    </row>
    <row r="157" spans="1:12" ht="15">
      <c r="A157" s="102"/>
      <c r="B157" s="269"/>
      <c r="C157" s="97"/>
      <c r="E157" s="380"/>
      <c r="F157" s="264" t="s">
        <v>1309</v>
      </c>
      <c r="G157" s="322" t="s">
        <v>1235</v>
      </c>
      <c r="I157" s="387">
        <v>2</v>
      </c>
      <c r="L157" s="322" t="s">
        <v>3994</v>
      </c>
    </row>
    <row r="158" spans="1:12" ht="15">
      <c r="A158" s="102"/>
      <c r="B158" s="269"/>
      <c r="C158" s="97"/>
      <c r="E158" s="380"/>
      <c r="F158" s="264" t="s">
        <v>1317</v>
      </c>
      <c r="G158" s="322" t="s">
        <v>1210</v>
      </c>
      <c r="I158" s="387">
        <v>2</v>
      </c>
      <c r="L158" s="322" t="s">
        <v>3995</v>
      </c>
    </row>
    <row r="159" spans="1:12" ht="15">
      <c r="A159" s="102"/>
      <c r="B159" s="105"/>
      <c r="C159" s="105"/>
      <c r="D159" s="321"/>
      <c r="E159" s="396"/>
      <c r="F159" s="105"/>
      <c r="G159" s="321"/>
      <c r="H159" s="104"/>
      <c r="I159" s="417"/>
      <c r="J159" s="108"/>
      <c r="K159" s="106"/>
      <c r="L159" s="321"/>
    </row>
    <row r="160" spans="1:12">
      <c r="B160" s="269" t="s">
        <v>12</v>
      </c>
      <c r="C160" s="270" t="s">
        <v>48</v>
      </c>
      <c r="D160" s="325"/>
      <c r="E160" s="399"/>
      <c r="F160" s="271"/>
      <c r="G160" s="325"/>
      <c r="H160" s="270"/>
      <c r="I160" s="418">
        <v>2</v>
      </c>
      <c r="J160" s="272"/>
      <c r="K160" s="273"/>
      <c r="L160" s="325" t="s">
        <v>1490</v>
      </c>
    </row>
    <row r="161" spans="1:12">
      <c r="B161" s="269"/>
      <c r="C161" s="97"/>
      <c r="D161" s="322" t="s">
        <v>48</v>
      </c>
      <c r="E161" s="380" t="s">
        <v>1302</v>
      </c>
      <c r="F161" s="264"/>
      <c r="I161" s="387">
        <v>1</v>
      </c>
      <c r="L161" s="322" t="s">
        <v>1491</v>
      </c>
    </row>
    <row r="162" spans="1:12">
      <c r="B162" s="269"/>
      <c r="C162" s="97"/>
      <c r="E162" s="380"/>
      <c r="F162" s="264" t="s">
        <v>1305</v>
      </c>
      <c r="G162" s="322" t="s">
        <v>1492</v>
      </c>
      <c r="H162" s="97">
        <v>4340</v>
      </c>
      <c r="I162" s="387">
        <v>1</v>
      </c>
      <c r="L162" s="322" t="s">
        <v>1493</v>
      </c>
    </row>
    <row r="163" spans="1:12">
      <c r="B163" s="269"/>
      <c r="C163" s="97"/>
      <c r="E163" s="380"/>
      <c r="F163" s="264" t="s">
        <v>1317</v>
      </c>
      <c r="G163" s="322" t="s">
        <v>1157</v>
      </c>
      <c r="H163" s="97" t="s">
        <v>1339</v>
      </c>
      <c r="I163" s="387">
        <v>1</v>
      </c>
      <c r="L163" s="322" t="s">
        <v>1494</v>
      </c>
    </row>
    <row r="164" spans="1:12">
      <c r="B164" s="269"/>
      <c r="C164" s="97"/>
      <c r="E164" s="380"/>
      <c r="F164" s="264" t="s">
        <v>1317</v>
      </c>
      <c r="G164" s="326" t="s">
        <v>1149</v>
      </c>
      <c r="H164" s="97" t="s">
        <v>3173</v>
      </c>
      <c r="I164" s="387">
        <v>1</v>
      </c>
      <c r="L164" s="322" t="s">
        <v>1495</v>
      </c>
    </row>
    <row r="165" spans="1:12">
      <c r="B165" s="269"/>
      <c r="C165" s="97"/>
      <c r="E165" s="380"/>
      <c r="F165" s="264" t="s">
        <v>1317</v>
      </c>
      <c r="G165" s="326" t="s">
        <v>1149</v>
      </c>
      <c r="H165" s="97" t="s">
        <v>3172</v>
      </c>
      <c r="I165" s="387">
        <v>1</v>
      </c>
      <c r="L165" s="322" t="s">
        <v>1496</v>
      </c>
    </row>
    <row r="166" spans="1:12">
      <c r="B166" s="269"/>
      <c r="C166" s="97"/>
      <c r="E166" s="380"/>
      <c r="F166" s="264" t="s">
        <v>1309</v>
      </c>
      <c r="G166" s="322" t="s">
        <v>1232</v>
      </c>
      <c r="H166" s="97" t="s">
        <v>1588</v>
      </c>
      <c r="I166" s="387">
        <v>4</v>
      </c>
      <c r="L166" s="322" t="s">
        <v>1497</v>
      </c>
    </row>
    <row r="167" spans="1:12">
      <c r="B167" s="269"/>
      <c r="C167" s="97"/>
      <c r="E167" s="380"/>
      <c r="F167" s="264" t="s">
        <v>1317</v>
      </c>
      <c r="G167" s="322" t="s">
        <v>1213</v>
      </c>
      <c r="I167" s="387">
        <v>1</v>
      </c>
      <c r="L167" s="322" t="s">
        <v>1776</v>
      </c>
    </row>
    <row r="168" spans="1:12">
      <c r="B168" s="269"/>
      <c r="C168" s="97"/>
      <c r="E168" s="380"/>
      <c r="F168" s="264" t="s">
        <v>1309</v>
      </c>
      <c r="G168" s="322" t="s">
        <v>1232</v>
      </c>
      <c r="H168" s="97" t="s">
        <v>2567</v>
      </c>
      <c r="I168" s="387">
        <v>1</v>
      </c>
      <c r="L168" s="322" t="s">
        <v>2568</v>
      </c>
    </row>
    <row r="169" spans="1:12">
      <c r="B169" s="269"/>
      <c r="C169" s="97"/>
      <c r="E169" s="380"/>
      <c r="F169" s="264" t="s">
        <v>1317</v>
      </c>
      <c r="G169" s="322" t="s">
        <v>1199</v>
      </c>
      <c r="H169" s="97" t="s">
        <v>2569</v>
      </c>
      <c r="I169" s="387">
        <v>1</v>
      </c>
      <c r="L169" s="322" t="s">
        <v>2570</v>
      </c>
    </row>
    <row r="170" spans="1:12">
      <c r="B170" s="269"/>
      <c r="C170" s="97"/>
      <c r="E170" s="380"/>
      <c r="F170" s="264" t="s">
        <v>1317</v>
      </c>
      <c r="G170" s="322" t="s">
        <v>1199</v>
      </c>
      <c r="H170" s="97" t="s">
        <v>2572</v>
      </c>
      <c r="I170" s="387">
        <v>1</v>
      </c>
      <c r="L170" s="322" t="s">
        <v>2571</v>
      </c>
    </row>
    <row r="171" spans="1:12">
      <c r="B171" s="269"/>
      <c r="C171" s="97"/>
      <c r="E171" s="380"/>
      <c r="F171" s="264" t="s">
        <v>1317</v>
      </c>
      <c r="G171" s="322" t="s">
        <v>1199</v>
      </c>
      <c r="H171" s="97" t="s">
        <v>2574</v>
      </c>
      <c r="I171" s="387">
        <v>1</v>
      </c>
      <c r="L171" s="322" t="s">
        <v>2573</v>
      </c>
    </row>
    <row r="172" spans="1:12">
      <c r="B172" s="269"/>
      <c r="C172" s="97"/>
      <c r="E172" s="380"/>
      <c r="F172" s="264" t="s">
        <v>1317</v>
      </c>
      <c r="G172" s="322" t="s">
        <v>1199</v>
      </c>
      <c r="H172" s="97" t="s">
        <v>2576</v>
      </c>
      <c r="I172" s="387">
        <v>1</v>
      </c>
      <c r="L172" s="322" t="s">
        <v>2575</v>
      </c>
    </row>
    <row r="173" spans="1:12" ht="15">
      <c r="A173" s="102"/>
      <c r="B173" s="105"/>
      <c r="C173" s="105"/>
      <c r="D173" s="321"/>
      <c r="E173" s="396"/>
      <c r="F173" s="105"/>
      <c r="G173" s="321"/>
      <c r="H173" s="104"/>
      <c r="I173" s="417"/>
      <c r="J173" s="108"/>
      <c r="K173" s="106"/>
      <c r="L173" s="321"/>
    </row>
    <row r="174" spans="1:12">
      <c r="B174" s="269" t="s">
        <v>12</v>
      </c>
      <c r="C174" s="270" t="s">
        <v>49</v>
      </c>
      <c r="D174" s="325"/>
      <c r="E174" s="399"/>
      <c r="F174" s="271"/>
      <c r="G174" s="325"/>
      <c r="H174" s="270"/>
      <c r="I174" s="418">
        <v>2</v>
      </c>
      <c r="J174" s="272"/>
      <c r="K174" s="273"/>
      <c r="L174" s="325" t="s">
        <v>1498</v>
      </c>
    </row>
    <row r="175" spans="1:12" ht="28.5">
      <c r="B175" s="269"/>
      <c r="C175" s="97"/>
      <c r="D175" s="347" t="s">
        <v>2297</v>
      </c>
      <c r="E175" s="380" t="s">
        <v>1311</v>
      </c>
      <c r="F175" s="264"/>
      <c r="H175" s="97" t="s">
        <v>1591</v>
      </c>
      <c r="I175" s="387">
        <v>1</v>
      </c>
      <c r="L175" s="322" t="s">
        <v>1499</v>
      </c>
    </row>
    <row r="176" spans="1:12" ht="15">
      <c r="A176" s="102"/>
      <c r="B176" s="269"/>
      <c r="C176" s="97"/>
      <c r="D176" s="322" t="s">
        <v>1500</v>
      </c>
      <c r="E176" s="380" t="s">
        <v>1311</v>
      </c>
      <c r="F176" s="264"/>
      <c r="I176" s="387">
        <v>1</v>
      </c>
      <c r="L176" s="322" t="s">
        <v>1501</v>
      </c>
    </row>
    <row r="177" spans="1:12" ht="28.5">
      <c r="A177" s="102"/>
      <c r="B177" s="269"/>
      <c r="C177" s="97"/>
      <c r="D177" s="347" t="s">
        <v>2298</v>
      </c>
      <c r="E177" s="380" t="s">
        <v>1311</v>
      </c>
      <c r="F177" s="264"/>
      <c r="H177" s="97" t="s">
        <v>1590</v>
      </c>
      <c r="I177" s="387">
        <v>1</v>
      </c>
      <c r="L177" s="322" t="s">
        <v>1589</v>
      </c>
    </row>
    <row r="178" spans="1:12" ht="28.5">
      <c r="A178" s="102"/>
      <c r="B178" s="269"/>
      <c r="C178" s="97"/>
      <c r="D178" s="347" t="s">
        <v>2299</v>
      </c>
      <c r="E178" s="380" t="s">
        <v>1311</v>
      </c>
      <c r="F178" s="264"/>
      <c r="H178" s="97" t="s">
        <v>2411</v>
      </c>
      <c r="I178" s="387">
        <v>1</v>
      </c>
      <c r="L178" s="322" t="s">
        <v>1592</v>
      </c>
    </row>
    <row r="179" spans="1:12" ht="28.5">
      <c r="A179" s="102"/>
      <c r="B179" s="269"/>
      <c r="C179" s="97"/>
      <c r="D179" s="347" t="s">
        <v>2300</v>
      </c>
      <c r="E179" s="380" t="s">
        <v>1302</v>
      </c>
      <c r="F179" s="264"/>
      <c r="I179" s="387">
        <v>1</v>
      </c>
      <c r="L179" s="322" t="s">
        <v>2296</v>
      </c>
    </row>
    <row r="180" spans="1:12" ht="15">
      <c r="A180" s="102"/>
      <c r="B180" s="269"/>
      <c r="C180" s="97"/>
      <c r="D180" s="347"/>
      <c r="E180" s="380"/>
      <c r="F180" s="264" t="s">
        <v>1317</v>
      </c>
      <c r="G180" s="322" t="s">
        <v>1199</v>
      </c>
      <c r="H180" s="97" t="s">
        <v>2302</v>
      </c>
      <c r="I180" s="387">
        <v>1</v>
      </c>
      <c r="L180" s="322" t="s">
        <v>2301</v>
      </c>
    </row>
    <row r="181" spans="1:12" ht="15">
      <c r="A181" s="102"/>
      <c r="B181" s="269"/>
      <c r="C181" s="97"/>
      <c r="D181" s="347" t="s">
        <v>2303</v>
      </c>
      <c r="E181" s="380" t="s">
        <v>1302</v>
      </c>
      <c r="F181" s="264"/>
      <c r="I181" s="387">
        <v>1</v>
      </c>
      <c r="L181" s="322" t="s">
        <v>2304</v>
      </c>
    </row>
    <row r="182" spans="1:12" ht="15">
      <c r="A182" s="102"/>
      <c r="B182" s="269"/>
      <c r="C182" s="97"/>
      <c r="D182" s="347"/>
      <c r="E182" s="380"/>
      <c r="F182" s="264" t="s">
        <v>1317</v>
      </c>
      <c r="G182" s="322" t="s">
        <v>1199</v>
      </c>
      <c r="H182" s="97" t="s">
        <v>2577</v>
      </c>
      <c r="I182" s="387">
        <v>1</v>
      </c>
      <c r="L182" s="322" t="s">
        <v>2305</v>
      </c>
    </row>
    <row r="183" spans="1:12" ht="15">
      <c r="A183" s="102"/>
      <c r="B183" s="105"/>
      <c r="C183" s="105"/>
      <c r="D183" s="321"/>
      <c r="E183" s="396"/>
      <c r="F183" s="105"/>
      <c r="G183" s="321"/>
      <c r="H183" s="104"/>
      <c r="I183" s="417"/>
      <c r="J183" s="108"/>
      <c r="K183" s="106"/>
      <c r="L183" s="321"/>
    </row>
    <row r="184" spans="1:12">
      <c r="A184" s="353"/>
      <c r="B184" s="375" t="s">
        <v>12</v>
      </c>
      <c r="C184" s="376" t="s">
        <v>52</v>
      </c>
      <c r="D184" s="376"/>
      <c r="E184" s="400"/>
      <c r="F184" s="377"/>
      <c r="G184" s="375"/>
      <c r="H184" s="376"/>
      <c r="I184" s="419">
        <v>1</v>
      </c>
      <c r="J184" s="378"/>
      <c r="K184" s="379"/>
      <c r="L184" s="446" t="s">
        <v>1778</v>
      </c>
    </row>
    <row r="185" spans="1:12">
      <c r="A185" s="353"/>
      <c r="B185" s="375"/>
      <c r="C185" s="17"/>
      <c r="D185" s="17" t="s">
        <v>1783</v>
      </c>
      <c r="E185" s="370" t="s">
        <v>1302</v>
      </c>
      <c r="F185" s="359"/>
      <c r="G185" s="353"/>
      <c r="H185" s="17" t="s">
        <v>1787</v>
      </c>
      <c r="I185" s="371">
        <v>1</v>
      </c>
      <c r="J185" s="360"/>
      <c r="K185" s="361"/>
      <c r="L185" s="368" t="s">
        <v>1779</v>
      </c>
    </row>
    <row r="186" spans="1:12">
      <c r="A186" s="353"/>
      <c r="B186" s="375"/>
      <c r="C186" s="17"/>
      <c r="D186" s="17"/>
      <c r="E186" s="370"/>
      <c r="F186" s="359" t="s">
        <v>1305</v>
      </c>
      <c r="G186" s="353" t="s">
        <v>995</v>
      </c>
      <c r="H186" s="17" t="s">
        <v>1782</v>
      </c>
      <c r="I186" s="371">
        <v>1</v>
      </c>
      <c r="J186" s="360"/>
      <c r="K186" s="361"/>
      <c r="L186" s="368" t="s">
        <v>1781</v>
      </c>
    </row>
    <row r="187" spans="1:12">
      <c r="A187" s="353"/>
      <c r="B187" s="375"/>
      <c r="C187" s="17"/>
      <c r="D187" s="17"/>
      <c r="E187" s="370"/>
      <c r="F187" s="359" t="s">
        <v>1317</v>
      </c>
      <c r="G187" s="353" t="s">
        <v>1129</v>
      </c>
      <c r="H187" s="17"/>
      <c r="I187" s="371">
        <v>1</v>
      </c>
      <c r="J187" s="360"/>
      <c r="K187" s="361"/>
      <c r="L187" s="368" t="s">
        <v>1784</v>
      </c>
    </row>
    <row r="188" spans="1:12">
      <c r="A188" s="353"/>
      <c r="B188" s="375"/>
      <c r="C188" s="17"/>
      <c r="D188" s="17"/>
      <c r="E188" s="370"/>
      <c r="F188" s="359" t="s">
        <v>1317</v>
      </c>
      <c r="G188" s="353" t="s">
        <v>1199</v>
      </c>
      <c r="H188" s="17"/>
      <c r="I188" s="371">
        <v>1</v>
      </c>
      <c r="J188" s="360"/>
      <c r="K188" s="361"/>
      <c r="L188" s="368" t="s">
        <v>2665</v>
      </c>
    </row>
    <row r="189" spans="1:12">
      <c r="A189" s="353"/>
      <c r="B189" s="375"/>
      <c r="C189" s="17"/>
      <c r="D189" s="17"/>
      <c r="E189" s="370"/>
      <c r="F189" s="359" t="s">
        <v>1317</v>
      </c>
      <c r="G189" s="353" t="s">
        <v>1199</v>
      </c>
      <c r="H189" s="17"/>
      <c r="I189" s="371">
        <v>1</v>
      </c>
      <c r="J189" s="360"/>
      <c r="K189" s="361"/>
      <c r="L189" s="368" t="s">
        <v>2666</v>
      </c>
    </row>
    <row r="190" spans="1:12" ht="15">
      <c r="A190" s="102"/>
      <c r="B190" s="375"/>
      <c r="C190" s="17"/>
      <c r="D190" s="17" t="s">
        <v>1783</v>
      </c>
      <c r="E190" s="370" t="s">
        <v>1302</v>
      </c>
      <c r="F190" s="359"/>
      <c r="G190" s="353"/>
      <c r="H190" s="17" t="s">
        <v>2668</v>
      </c>
      <c r="I190" s="371">
        <v>1</v>
      </c>
      <c r="J190" s="360"/>
      <c r="K190" s="361"/>
      <c r="L190" s="368" t="s">
        <v>1780</v>
      </c>
    </row>
    <row r="191" spans="1:12" ht="15">
      <c r="A191" s="102"/>
      <c r="B191" s="375"/>
      <c r="C191" s="17"/>
      <c r="D191" s="17"/>
      <c r="E191" s="370"/>
      <c r="F191" s="359" t="s">
        <v>1305</v>
      </c>
      <c r="G191" s="353" t="s">
        <v>995</v>
      </c>
      <c r="H191" s="17"/>
      <c r="I191" s="371">
        <v>1</v>
      </c>
      <c r="J191" s="360"/>
      <c r="K191" s="361"/>
      <c r="L191" s="368" t="s">
        <v>1785</v>
      </c>
    </row>
    <row r="192" spans="1:12" ht="15">
      <c r="A192" s="102"/>
      <c r="B192" s="375"/>
      <c r="C192" s="17"/>
      <c r="D192" s="17"/>
      <c r="E192" s="370"/>
      <c r="F192" s="359" t="s">
        <v>1317</v>
      </c>
      <c r="G192" s="353" t="s">
        <v>1129</v>
      </c>
      <c r="H192" s="17"/>
      <c r="I192" s="371">
        <v>1</v>
      </c>
      <c r="J192" s="360"/>
      <c r="K192" s="361"/>
      <c r="L192" s="368" t="s">
        <v>1786</v>
      </c>
    </row>
    <row r="193" spans="1:12" ht="15">
      <c r="A193" s="102"/>
      <c r="B193" s="375"/>
      <c r="C193" s="17"/>
      <c r="D193" s="17"/>
      <c r="E193" s="370"/>
      <c r="F193" s="359" t="s">
        <v>1317</v>
      </c>
      <c r="G193" s="353" t="s">
        <v>1199</v>
      </c>
      <c r="H193" s="17"/>
      <c r="I193" s="371">
        <v>1</v>
      </c>
      <c r="J193" s="360"/>
      <c r="K193" s="361"/>
      <c r="L193" s="368" t="s">
        <v>2667</v>
      </c>
    </row>
    <row r="194" spans="1:12" ht="15">
      <c r="A194" s="102"/>
      <c r="B194" s="375"/>
      <c r="C194" s="17"/>
      <c r="D194" s="17"/>
      <c r="E194" s="370"/>
      <c r="F194" s="359" t="s">
        <v>1317</v>
      </c>
      <c r="G194" s="353" t="s">
        <v>1199</v>
      </c>
      <c r="H194" s="17"/>
      <c r="I194" s="371">
        <v>1</v>
      </c>
      <c r="J194" s="360"/>
      <c r="K194" s="361"/>
      <c r="L194" s="368" t="s">
        <v>2669</v>
      </c>
    </row>
    <row r="195" spans="1:12" ht="15">
      <c r="A195" s="102"/>
      <c r="B195" s="105"/>
      <c r="C195" s="105"/>
      <c r="D195" s="321"/>
      <c r="E195" s="396"/>
      <c r="F195" s="105"/>
      <c r="G195" s="321"/>
      <c r="H195" s="104"/>
      <c r="I195" s="417"/>
      <c r="J195" s="108"/>
      <c r="K195" s="106"/>
      <c r="L195" s="321"/>
    </row>
    <row r="196" spans="1:12">
      <c r="A196" s="353"/>
      <c r="B196" s="375" t="s">
        <v>12</v>
      </c>
      <c r="C196" s="376" t="s">
        <v>58</v>
      </c>
      <c r="D196" s="376"/>
      <c r="E196" s="400"/>
      <c r="F196" s="377"/>
      <c r="G196" s="375"/>
      <c r="H196" s="376" t="s">
        <v>3428</v>
      </c>
      <c r="I196" s="419">
        <v>1</v>
      </c>
      <c r="J196" s="378"/>
      <c r="K196" s="379"/>
      <c r="L196" s="446" t="s">
        <v>1789</v>
      </c>
    </row>
    <row r="197" spans="1:12" ht="28.5">
      <c r="A197" s="353"/>
      <c r="B197" s="375"/>
      <c r="C197" s="17"/>
      <c r="D197" s="368" t="s">
        <v>1788</v>
      </c>
      <c r="E197" s="370" t="s">
        <v>1311</v>
      </c>
      <c r="F197" s="359"/>
      <c r="G197" s="353"/>
      <c r="H197" s="364" t="s">
        <v>1852</v>
      </c>
      <c r="I197" s="371">
        <v>4</v>
      </c>
      <c r="J197" s="360"/>
      <c r="K197" s="361"/>
      <c r="L197" s="368" t="s">
        <v>1790</v>
      </c>
    </row>
    <row r="198" spans="1:12" ht="15">
      <c r="A198" s="102"/>
      <c r="B198" s="375"/>
      <c r="C198" s="17"/>
      <c r="D198" s="368" t="s">
        <v>2211</v>
      </c>
      <c r="E198" s="370" t="s">
        <v>1302</v>
      </c>
      <c r="F198" s="359"/>
      <c r="G198" s="353"/>
      <c r="H198" s="364"/>
      <c r="I198" s="371">
        <v>1</v>
      </c>
      <c r="J198" s="360"/>
      <c r="K198" s="361"/>
      <c r="L198" s="368" t="s">
        <v>2578</v>
      </c>
    </row>
    <row r="199" spans="1:12" ht="15">
      <c r="A199" s="102"/>
      <c r="B199" s="375"/>
      <c r="C199" s="17"/>
      <c r="D199" s="368"/>
      <c r="E199" s="370"/>
      <c r="F199" s="359" t="s">
        <v>1317</v>
      </c>
      <c r="G199" s="353" t="s">
        <v>1199</v>
      </c>
      <c r="H199" s="364" t="s">
        <v>3174</v>
      </c>
      <c r="I199" s="371">
        <v>1</v>
      </c>
      <c r="J199" s="360"/>
      <c r="K199" s="361"/>
      <c r="L199" s="368" t="s">
        <v>2579</v>
      </c>
    </row>
    <row r="200" spans="1:12" ht="15">
      <c r="A200" s="102"/>
      <c r="B200" s="375"/>
      <c r="C200" s="17"/>
      <c r="D200" s="368"/>
      <c r="E200" s="370"/>
      <c r="F200" s="359" t="s">
        <v>1317</v>
      </c>
      <c r="G200" s="353" t="s">
        <v>1199</v>
      </c>
      <c r="H200" s="364" t="s">
        <v>3175</v>
      </c>
      <c r="I200" s="371">
        <v>1</v>
      </c>
      <c r="J200" s="360"/>
      <c r="K200" s="361"/>
      <c r="L200" s="368" t="s">
        <v>2580</v>
      </c>
    </row>
    <row r="201" spans="1:12" ht="15">
      <c r="A201" s="102"/>
      <c r="B201" s="105"/>
      <c r="C201" s="105"/>
      <c r="D201" s="321"/>
      <c r="E201" s="396"/>
      <c r="F201" s="105"/>
      <c r="G201" s="321"/>
      <c r="H201" s="104"/>
      <c r="I201" s="417"/>
      <c r="J201" s="108"/>
      <c r="K201" s="106"/>
      <c r="L201" s="321"/>
    </row>
    <row r="202" spans="1:12">
      <c r="A202" s="353"/>
      <c r="B202" s="375" t="s">
        <v>12</v>
      </c>
      <c r="C202" s="376" t="s">
        <v>62</v>
      </c>
      <c r="D202" s="376"/>
      <c r="E202" s="400"/>
      <c r="F202" s="377"/>
      <c r="G202" s="375"/>
      <c r="H202" s="376"/>
      <c r="I202" s="419">
        <v>1</v>
      </c>
      <c r="J202" s="378"/>
      <c r="K202" s="379"/>
      <c r="L202" s="446" t="s">
        <v>1792</v>
      </c>
    </row>
    <row r="203" spans="1:12">
      <c r="A203" s="353"/>
      <c r="B203" s="375"/>
      <c r="C203" s="17"/>
      <c r="D203" s="17" t="s">
        <v>1791</v>
      </c>
      <c r="E203" s="370" t="s">
        <v>1302</v>
      </c>
      <c r="F203" s="359"/>
      <c r="G203" s="353"/>
      <c r="H203" s="17"/>
      <c r="I203" s="371">
        <v>1</v>
      </c>
      <c r="J203" s="360"/>
      <c r="K203" s="361"/>
      <c r="L203" s="368" t="s">
        <v>1793</v>
      </c>
    </row>
    <row r="204" spans="1:12">
      <c r="A204" s="353"/>
      <c r="B204" s="375"/>
      <c r="C204" s="17"/>
      <c r="D204" s="17"/>
      <c r="E204" s="370"/>
      <c r="F204" s="359" t="s">
        <v>1305</v>
      </c>
      <c r="G204" s="353" t="s">
        <v>1007</v>
      </c>
      <c r="H204" s="17" t="s">
        <v>2937</v>
      </c>
      <c r="I204" s="371">
        <v>1</v>
      </c>
      <c r="J204" s="360"/>
      <c r="K204" s="361"/>
      <c r="L204" s="368" t="s">
        <v>1821</v>
      </c>
    </row>
    <row r="205" spans="1:12">
      <c r="A205" s="353"/>
      <c r="B205" s="375"/>
      <c r="C205" s="17"/>
      <c r="D205" s="17"/>
      <c r="E205" s="370"/>
      <c r="F205" s="359" t="s">
        <v>1317</v>
      </c>
      <c r="G205" s="353" t="s">
        <v>1156</v>
      </c>
      <c r="H205" s="17"/>
      <c r="I205" s="371">
        <v>1</v>
      </c>
      <c r="J205" s="360"/>
      <c r="K205" s="361"/>
      <c r="L205" s="368" t="s">
        <v>1822</v>
      </c>
    </row>
    <row r="206" spans="1:12">
      <c r="A206" s="353"/>
      <c r="B206" s="375"/>
      <c r="C206" s="17"/>
      <c r="D206" s="17"/>
      <c r="E206" s="370"/>
      <c r="F206" s="359" t="s">
        <v>1317</v>
      </c>
      <c r="G206" s="353" t="s">
        <v>1711</v>
      </c>
      <c r="H206" s="17"/>
      <c r="I206" s="371">
        <v>4</v>
      </c>
      <c r="J206" s="360"/>
      <c r="K206" s="361"/>
      <c r="L206" s="368" t="s">
        <v>1823</v>
      </c>
    </row>
    <row r="207" spans="1:12">
      <c r="A207" s="353"/>
      <c r="B207" s="375"/>
      <c r="C207" s="17"/>
      <c r="D207" s="17"/>
      <c r="E207" s="370"/>
      <c r="F207" s="359" t="s">
        <v>1317</v>
      </c>
      <c r="G207" s="353" t="s">
        <v>941</v>
      </c>
      <c r="H207" s="17" t="s">
        <v>2938</v>
      </c>
      <c r="I207" s="371">
        <v>1</v>
      </c>
      <c r="J207" s="360"/>
      <c r="K207" s="361"/>
      <c r="L207" s="368" t="s">
        <v>2936</v>
      </c>
    </row>
    <row r="208" spans="1:12">
      <c r="A208" s="353"/>
      <c r="B208" s="375"/>
      <c r="C208" s="17"/>
      <c r="D208" s="17"/>
      <c r="E208" s="370"/>
      <c r="F208" s="359" t="s">
        <v>1317</v>
      </c>
      <c r="G208" s="353" t="s">
        <v>1199</v>
      </c>
      <c r="H208" s="17" t="s">
        <v>3176</v>
      </c>
      <c r="I208" s="371">
        <v>1</v>
      </c>
      <c r="J208" s="360"/>
      <c r="K208" s="361"/>
      <c r="L208" s="368" t="s">
        <v>2939</v>
      </c>
    </row>
    <row r="209" spans="1:12">
      <c r="A209" s="353"/>
      <c r="B209" s="375"/>
      <c r="C209" s="17"/>
      <c r="D209" s="17"/>
      <c r="E209" s="370"/>
      <c r="F209" s="359" t="s">
        <v>1309</v>
      </c>
      <c r="G209" s="353" t="s">
        <v>1228</v>
      </c>
      <c r="H209" s="17" t="s">
        <v>1875</v>
      </c>
      <c r="I209" s="371">
        <v>3</v>
      </c>
      <c r="J209" s="360"/>
      <c r="K209" s="361"/>
      <c r="L209" s="368" t="s">
        <v>2940</v>
      </c>
    </row>
    <row r="210" spans="1:12">
      <c r="A210" s="353"/>
      <c r="B210" s="375"/>
      <c r="C210" s="17"/>
      <c r="D210" s="17"/>
      <c r="E210" s="370"/>
      <c r="F210" s="359" t="s">
        <v>1309</v>
      </c>
      <c r="G210" s="353" t="s">
        <v>1230</v>
      </c>
      <c r="H210" s="17" t="s">
        <v>2034</v>
      </c>
      <c r="I210" s="371">
        <v>3</v>
      </c>
      <c r="J210" s="360"/>
      <c r="K210" s="361"/>
      <c r="L210" s="368" t="s">
        <v>2941</v>
      </c>
    </row>
    <row r="211" spans="1:12">
      <c r="A211" s="353"/>
      <c r="B211" s="375"/>
      <c r="C211" s="17"/>
      <c r="D211" s="17"/>
      <c r="E211" s="370"/>
      <c r="F211" s="359" t="s">
        <v>1317</v>
      </c>
      <c r="G211" s="353" t="s">
        <v>1210</v>
      </c>
      <c r="H211" s="17"/>
      <c r="I211" s="371">
        <v>6</v>
      </c>
      <c r="J211" s="360"/>
      <c r="K211" s="361"/>
      <c r="L211" s="368" t="s">
        <v>2942</v>
      </c>
    </row>
    <row r="212" spans="1:12" ht="15">
      <c r="A212" s="102"/>
      <c r="B212" s="375"/>
      <c r="C212" s="17"/>
      <c r="D212" s="17" t="s">
        <v>1799</v>
      </c>
      <c r="E212" s="370" t="s">
        <v>1302</v>
      </c>
      <c r="F212" s="359"/>
      <c r="G212" s="353"/>
      <c r="H212" s="17" t="s">
        <v>1800</v>
      </c>
      <c r="I212" s="371">
        <v>1</v>
      </c>
      <c r="J212" s="360"/>
      <c r="K212" s="361"/>
      <c r="L212" s="368" t="s">
        <v>1801</v>
      </c>
    </row>
    <row r="213" spans="1:12" ht="15">
      <c r="A213" s="102"/>
      <c r="B213" s="375"/>
      <c r="C213" s="17"/>
      <c r="D213" s="17"/>
      <c r="E213" s="370"/>
      <c r="F213" s="359" t="s">
        <v>1305</v>
      </c>
      <c r="G213" s="353" t="s">
        <v>1007</v>
      </c>
      <c r="H213" s="17" t="s">
        <v>1825</v>
      </c>
      <c r="I213" s="371">
        <v>1</v>
      </c>
      <c r="J213" s="360"/>
      <c r="K213" s="361"/>
      <c r="L213" s="368" t="s">
        <v>1824</v>
      </c>
    </row>
    <row r="214" spans="1:12" ht="15">
      <c r="A214" s="102"/>
      <c r="B214" s="375"/>
      <c r="C214" s="17"/>
      <c r="D214" s="17"/>
      <c r="E214" s="370"/>
      <c r="F214" s="359" t="s">
        <v>1317</v>
      </c>
      <c r="G214" s="353" t="s">
        <v>1157</v>
      </c>
      <c r="H214" s="17" t="s">
        <v>1339</v>
      </c>
      <c r="I214" s="371">
        <v>1</v>
      </c>
      <c r="J214" s="360"/>
      <c r="K214" s="361"/>
      <c r="L214" s="368" t="s">
        <v>1826</v>
      </c>
    </row>
    <row r="215" spans="1:12" ht="15">
      <c r="A215" s="102"/>
      <c r="B215" s="375"/>
      <c r="C215" s="17"/>
      <c r="D215" s="17"/>
      <c r="E215" s="370"/>
      <c r="F215" s="359" t="s">
        <v>1317</v>
      </c>
      <c r="G215" s="353" t="s">
        <v>1157</v>
      </c>
      <c r="H215" s="17" t="s">
        <v>1338</v>
      </c>
      <c r="I215" s="371">
        <v>1</v>
      </c>
      <c r="J215" s="360"/>
      <c r="K215" s="361"/>
      <c r="L215" s="368" t="s">
        <v>1827</v>
      </c>
    </row>
    <row r="216" spans="1:12" ht="15">
      <c r="A216" s="102"/>
      <c r="B216" s="375"/>
      <c r="C216" s="17"/>
      <c r="D216" s="17"/>
      <c r="E216" s="370"/>
      <c r="F216" s="359" t="s">
        <v>1317</v>
      </c>
      <c r="G216" s="353" t="s">
        <v>1223</v>
      </c>
      <c r="H216" s="17"/>
      <c r="I216" s="371">
        <v>1</v>
      </c>
      <c r="J216" s="360"/>
      <c r="K216" s="361"/>
      <c r="L216" s="368" t="s">
        <v>1828</v>
      </c>
    </row>
    <row r="217" spans="1:12" ht="15">
      <c r="A217" s="102"/>
      <c r="B217" s="375"/>
      <c r="C217" s="17"/>
      <c r="D217" s="17"/>
      <c r="E217" s="370"/>
      <c r="F217" s="359" t="s">
        <v>1317</v>
      </c>
      <c r="G217" s="353" t="s">
        <v>941</v>
      </c>
      <c r="H217" s="17" t="s">
        <v>3177</v>
      </c>
      <c r="I217" s="371">
        <v>1</v>
      </c>
      <c r="J217" s="360"/>
      <c r="K217" s="361"/>
      <c r="L217" s="368" t="s">
        <v>1870</v>
      </c>
    </row>
    <row r="218" spans="1:12" ht="15">
      <c r="A218" s="102"/>
      <c r="B218" s="375"/>
      <c r="C218" s="17"/>
      <c r="D218" s="17" t="s">
        <v>1802</v>
      </c>
      <c r="E218" s="370" t="s">
        <v>1302</v>
      </c>
      <c r="F218" s="359"/>
      <c r="G218" s="353"/>
      <c r="H218" s="17"/>
      <c r="I218" s="371">
        <v>1</v>
      </c>
      <c r="J218" s="360"/>
      <c r="K218" s="361"/>
      <c r="L218" s="368" t="s">
        <v>1803</v>
      </c>
    </row>
    <row r="219" spans="1:12" ht="15">
      <c r="A219" s="102"/>
      <c r="B219" s="375"/>
      <c r="C219" s="17"/>
      <c r="D219" s="17"/>
      <c r="E219" s="370"/>
      <c r="F219" s="359" t="s">
        <v>1305</v>
      </c>
      <c r="G219" s="353" t="s">
        <v>1099</v>
      </c>
      <c r="H219" s="17"/>
      <c r="I219" s="371">
        <v>1</v>
      </c>
      <c r="J219" s="360"/>
      <c r="K219" s="361"/>
      <c r="L219" s="368" t="s">
        <v>1829</v>
      </c>
    </row>
    <row r="220" spans="1:12" ht="15">
      <c r="A220" s="102"/>
      <c r="B220" s="375"/>
      <c r="C220" s="17"/>
      <c r="D220" s="17"/>
      <c r="E220" s="370"/>
      <c r="F220" s="359" t="s">
        <v>1317</v>
      </c>
      <c r="G220" s="353" t="s">
        <v>1157</v>
      </c>
      <c r="H220" s="17" t="s">
        <v>1339</v>
      </c>
      <c r="I220" s="371">
        <v>1</v>
      </c>
      <c r="J220" s="360"/>
      <c r="K220" s="361"/>
      <c r="L220" s="368" t="s">
        <v>1830</v>
      </c>
    </row>
    <row r="221" spans="1:12" ht="15">
      <c r="A221" s="102"/>
      <c r="B221" s="375"/>
      <c r="C221" s="17"/>
      <c r="D221" s="17"/>
      <c r="E221" s="370"/>
      <c r="F221" s="359" t="s">
        <v>1317</v>
      </c>
      <c r="G221" s="353" t="s">
        <v>1223</v>
      </c>
      <c r="H221" s="17"/>
      <c r="I221" s="371">
        <v>1</v>
      </c>
      <c r="J221" s="360"/>
      <c r="K221" s="361"/>
      <c r="L221" s="368" t="s">
        <v>1831</v>
      </c>
    </row>
    <row r="222" spans="1:12" ht="15">
      <c r="A222" s="102"/>
      <c r="B222" s="375"/>
      <c r="C222" s="17"/>
      <c r="D222" s="17"/>
      <c r="E222" s="370"/>
      <c r="F222" s="359" t="s">
        <v>1317</v>
      </c>
      <c r="G222" s="353" t="s">
        <v>1157</v>
      </c>
      <c r="H222" s="17" t="s">
        <v>1338</v>
      </c>
      <c r="I222" s="371">
        <v>1</v>
      </c>
      <c r="J222" s="360"/>
      <c r="K222" s="361"/>
      <c r="L222" s="368" t="s">
        <v>2584</v>
      </c>
    </row>
    <row r="223" spans="1:12" ht="15">
      <c r="A223" s="102"/>
      <c r="B223" s="375"/>
      <c r="C223" s="17"/>
      <c r="D223" s="17"/>
      <c r="E223" s="370"/>
      <c r="F223" s="359" t="s">
        <v>1317</v>
      </c>
      <c r="G223" s="353" t="s">
        <v>1199</v>
      </c>
      <c r="H223" s="17" t="s">
        <v>3178</v>
      </c>
      <c r="I223" s="371">
        <v>1</v>
      </c>
      <c r="J223" s="360"/>
      <c r="K223" s="361"/>
      <c r="L223" s="368" t="s">
        <v>2935</v>
      </c>
    </row>
    <row r="224" spans="1:12" ht="15">
      <c r="A224" s="102"/>
      <c r="B224" s="375"/>
      <c r="C224" s="17"/>
      <c r="D224" s="17" t="s">
        <v>1804</v>
      </c>
      <c r="E224" s="370" t="s">
        <v>1302</v>
      </c>
      <c r="F224" s="359"/>
      <c r="G224" s="353"/>
      <c r="H224" s="17"/>
      <c r="I224" s="371">
        <v>2</v>
      </c>
      <c r="J224" s="360"/>
      <c r="K224" s="361"/>
      <c r="L224" s="368" t="s">
        <v>1805</v>
      </c>
    </row>
    <row r="225" spans="1:12" ht="15">
      <c r="A225" s="102"/>
      <c r="B225" s="375"/>
      <c r="C225" s="17"/>
      <c r="D225" s="17"/>
      <c r="E225" s="370"/>
      <c r="F225" s="359" t="s">
        <v>1305</v>
      </c>
      <c r="G225" s="353" t="s">
        <v>995</v>
      </c>
      <c r="H225" s="17"/>
      <c r="I225" s="371">
        <v>1</v>
      </c>
      <c r="J225" s="360"/>
      <c r="K225" s="361"/>
      <c r="L225" s="368" t="s">
        <v>1832</v>
      </c>
    </row>
    <row r="226" spans="1:12" ht="15">
      <c r="A226" s="102"/>
      <c r="B226" s="375"/>
      <c r="C226" s="17"/>
      <c r="D226" s="17"/>
      <c r="E226" s="370"/>
      <c r="F226" s="359" t="s">
        <v>1317</v>
      </c>
      <c r="G226" s="353" t="s">
        <v>1129</v>
      </c>
      <c r="H226" s="17"/>
      <c r="I226" s="371">
        <v>1</v>
      </c>
      <c r="J226" s="360"/>
      <c r="K226" s="361"/>
      <c r="L226" s="368" t="s">
        <v>1833</v>
      </c>
    </row>
    <row r="227" spans="1:12" ht="15">
      <c r="A227" s="102"/>
      <c r="B227" s="375"/>
      <c r="C227" s="17"/>
      <c r="D227" s="17"/>
      <c r="E227" s="370"/>
      <c r="F227" s="359" t="s">
        <v>1317</v>
      </c>
      <c r="G227" s="353" t="s">
        <v>1199</v>
      </c>
      <c r="H227" s="17" t="s">
        <v>3179</v>
      </c>
      <c r="I227" s="371">
        <v>1</v>
      </c>
      <c r="J227" s="360"/>
      <c r="K227" s="361"/>
      <c r="L227" s="368" t="s">
        <v>1868</v>
      </c>
    </row>
    <row r="228" spans="1:12" ht="15">
      <c r="A228" s="102"/>
      <c r="B228" s="375"/>
      <c r="C228" s="17"/>
      <c r="D228" s="17"/>
      <c r="E228" s="370"/>
      <c r="F228" s="359" t="s">
        <v>1309</v>
      </c>
      <c r="G228" s="353" t="s">
        <v>1229</v>
      </c>
      <c r="H228" s="17"/>
      <c r="I228" s="371">
        <v>1</v>
      </c>
      <c r="J228" s="360"/>
      <c r="K228" s="361"/>
      <c r="L228" s="368" t="s">
        <v>1869</v>
      </c>
    </row>
    <row r="229" spans="1:12" ht="29.25">
      <c r="A229" s="102"/>
      <c r="B229" s="375"/>
      <c r="C229" s="17"/>
      <c r="D229" s="369" t="s">
        <v>1853</v>
      </c>
      <c r="E229" s="370" t="s">
        <v>1302</v>
      </c>
      <c r="F229" s="359"/>
      <c r="G229" s="353"/>
      <c r="H229" s="364" t="s">
        <v>1811</v>
      </c>
      <c r="I229" s="371">
        <v>2</v>
      </c>
      <c r="J229" s="360"/>
      <c r="K229" s="361"/>
      <c r="L229" s="368" t="s">
        <v>1806</v>
      </c>
    </row>
    <row r="230" spans="1:12" ht="15">
      <c r="A230" s="102"/>
      <c r="B230" s="375"/>
      <c r="C230" s="17"/>
      <c r="D230" s="369"/>
      <c r="E230" s="370"/>
      <c r="F230" s="359" t="s">
        <v>1305</v>
      </c>
      <c r="G230" s="353" t="s">
        <v>1007</v>
      </c>
      <c r="H230" s="364" t="s">
        <v>1825</v>
      </c>
      <c r="I230" s="371">
        <v>1</v>
      </c>
      <c r="J230" s="360"/>
      <c r="K230" s="361"/>
      <c r="L230" s="368" t="s">
        <v>1862</v>
      </c>
    </row>
    <row r="231" spans="1:12" ht="15">
      <c r="A231" s="102"/>
      <c r="B231" s="375"/>
      <c r="C231" s="17"/>
      <c r="D231" s="369"/>
      <c r="E231" s="370"/>
      <c r="F231" s="359" t="s">
        <v>1317</v>
      </c>
      <c r="G231" s="353" t="s">
        <v>1157</v>
      </c>
      <c r="H231" s="364" t="s">
        <v>1339</v>
      </c>
      <c r="I231" s="371">
        <v>1</v>
      </c>
      <c r="J231" s="360"/>
      <c r="K231" s="361"/>
      <c r="L231" s="368" t="s">
        <v>1863</v>
      </c>
    </row>
    <row r="232" spans="1:12" ht="15">
      <c r="A232" s="102"/>
      <c r="B232" s="375"/>
      <c r="C232" s="17"/>
      <c r="D232" s="369"/>
      <c r="E232" s="370"/>
      <c r="F232" s="359" t="s">
        <v>1317</v>
      </c>
      <c r="G232" s="353" t="s">
        <v>1223</v>
      </c>
      <c r="H232" s="364"/>
      <c r="I232" s="371">
        <v>1</v>
      </c>
      <c r="J232" s="360"/>
      <c r="K232" s="361"/>
      <c r="L232" s="368" t="s">
        <v>1864</v>
      </c>
    </row>
    <row r="233" spans="1:12" ht="15">
      <c r="A233" s="102"/>
      <c r="B233" s="375"/>
      <c r="C233" s="17"/>
      <c r="D233" s="369"/>
      <c r="E233" s="370"/>
      <c r="F233" s="359" t="s">
        <v>1317</v>
      </c>
      <c r="G233" s="353" t="s">
        <v>1026</v>
      </c>
      <c r="H233" s="364" t="s">
        <v>1865</v>
      </c>
      <c r="I233" s="371">
        <v>1</v>
      </c>
      <c r="J233" s="360"/>
      <c r="K233" s="361"/>
      <c r="L233" s="368" t="s">
        <v>1866</v>
      </c>
    </row>
    <row r="234" spans="1:12" ht="15">
      <c r="A234" s="102"/>
      <c r="B234" s="375"/>
      <c r="C234" s="17"/>
      <c r="D234" s="369"/>
      <c r="E234" s="370"/>
      <c r="F234" s="359" t="s">
        <v>1317</v>
      </c>
      <c r="G234" s="353" t="s">
        <v>941</v>
      </c>
      <c r="H234" s="364" t="s">
        <v>1791</v>
      </c>
      <c r="I234" s="371">
        <v>1</v>
      </c>
      <c r="J234" s="360"/>
      <c r="K234" s="361"/>
      <c r="L234" s="368" t="s">
        <v>1871</v>
      </c>
    </row>
    <row r="235" spans="1:12" ht="15">
      <c r="A235" s="102"/>
      <c r="B235" s="375"/>
      <c r="C235" s="17"/>
      <c r="D235" s="369"/>
      <c r="E235" s="370"/>
      <c r="F235" s="359" t="s">
        <v>1317</v>
      </c>
      <c r="G235" s="353" t="s">
        <v>1199</v>
      </c>
      <c r="H235" s="364" t="s">
        <v>3180</v>
      </c>
      <c r="I235" s="371">
        <v>1</v>
      </c>
      <c r="J235" s="360"/>
      <c r="K235" s="361"/>
      <c r="L235" s="368" t="s">
        <v>2585</v>
      </c>
    </row>
    <row r="236" spans="1:12" ht="15">
      <c r="A236" s="102"/>
      <c r="B236" s="375"/>
      <c r="C236" s="17"/>
      <c r="D236" s="17" t="s">
        <v>1807</v>
      </c>
      <c r="E236" s="370" t="s">
        <v>1302</v>
      </c>
      <c r="F236" s="359"/>
      <c r="G236" s="353"/>
      <c r="H236" s="17"/>
      <c r="I236" s="371">
        <v>1</v>
      </c>
      <c r="J236" s="360"/>
      <c r="K236" s="361"/>
      <c r="L236" s="368" t="s">
        <v>1808</v>
      </c>
    </row>
    <row r="237" spans="1:12" ht="15">
      <c r="A237" s="102"/>
      <c r="B237" s="375"/>
      <c r="C237" s="17"/>
      <c r="D237" s="17"/>
      <c r="E237" s="370"/>
      <c r="F237" s="359" t="s">
        <v>1317</v>
      </c>
      <c r="G237" s="353" t="s">
        <v>1210</v>
      </c>
      <c r="H237" s="17"/>
      <c r="I237" s="371">
        <v>1</v>
      </c>
      <c r="J237" s="360"/>
      <c r="K237" s="361"/>
      <c r="L237" s="368" t="s">
        <v>2412</v>
      </c>
    </row>
    <row r="238" spans="1:12" ht="29.25">
      <c r="A238" s="102"/>
      <c r="B238" s="375"/>
      <c r="C238" s="17"/>
      <c r="D238" s="364" t="s">
        <v>1810</v>
      </c>
      <c r="E238" s="370" t="s">
        <v>1302</v>
      </c>
      <c r="F238" s="359"/>
      <c r="G238" s="353"/>
      <c r="H238" s="364" t="s">
        <v>1812</v>
      </c>
      <c r="I238" s="371">
        <v>1</v>
      </c>
      <c r="J238" s="360"/>
      <c r="K238" s="361"/>
      <c r="L238" s="368" t="s">
        <v>1809</v>
      </c>
    </row>
    <row r="239" spans="1:12" ht="15">
      <c r="A239" s="102"/>
      <c r="B239" s="375"/>
      <c r="C239" s="17"/>
      <c r="D239" s="364"/>
      <c r="E239" s="370"/>
      <c r="F239" s="359" t="s">
        <v>1305</v>
      </c>
      <c r="G239" s="353" t="s">
        <v>1007</v>
      </c>
      <c r="H239" s="364" t="s">
        <v>1825</v>
      </c>
      <c r="I239" s="371">
        <v>1</v>
      </c>
      <c r="J239" s="360"/>
      <c r="K239" s="361"/>
      <c r="L239" s="368" t="s">
        <v>1877</v>
      </c>
    </row>
    <row r="240" spans="1:12" ht="15">
      <c r="A240" s="102"/>
      <c r="B240" s="375"/>
      <c r="C240" s="17"/>
      <c r="D240" s="364"/>
      <c r="E240" s="370"/>
      <c r="F240" s="359" t="s">
        <v>1317</v>
      </c>
      <c r="G240" s="353" t="s">
        <v>1157</v>
      </c>
      <c r="H240" s="364" t="s">
        <v>1339</v>
      </c>
      <c r="I240" s="371">
        <v>1</v>
      </c>
      <c r="J240" s="360"/>
      <c r="K240" s="361"/>
      <c r="L240" s="368" t="s">
        <v>1878</v>
      </c>
    </row>
    <row r="241" spans="1:12" ht="15">
      <c r="A241" s="102"/>
      <c r="B241" s="375"/>
      <c r="C241" s="17"/>
      <c r="D241" s="364"/>
      <c r="E241" s="370"/>
      <c r="F241" s="359" t="s">
        <v>1317</v>
      </c>
      <c r="G241" s="353" t="s">
        <v>1223</v>
      </c>
      <c r="H241" s="364"/>
      <c r="I241" s="371">
        <v>1</v>
      </c>
      <c r="J241" s="360"/>
      <c r="K241" s="361"/>
      <c r="L241" s="368" t="s">
        <v>1879</v>
      </c>
    </row>
    <row r="242" spans="1:12" ht="15">
      <c r="A242" s="102"/>
      <c r="B242" s="375"/>
      <c r="C242" s="17"/>
      <c r="D242" s="364"/>
      <c r="E242" s="370"/>
      <c r="F242" s="359" t="s">
        <v>1317</v>
      </c>
      <c r="G242" s="353" t="s">
        <v>941</v>
      </c>
      <c r="H242" s="364" t="s">
        <v>3177</v>
      </c>
      <c r="I242" s="371">
        <v>1</v>
      </c>
      <c r="J242" s="360"/>
      <c r="K242" s="361"/>
      <c r="L242" s="368" t="s">
        <v>1881</v>
      </c>
    </row>
    <row r="243" spans="1:12" ht="15">
      <c r="A243" s="102"/>
      <c r="B243" s="375"/>
      <c r="C243" s="17"/>
      <c r="D243" s="364" t="s">
        <v>1813</v>
      </c>
      <c r="E243" s="370" t="s">
        <v>1302</v>
      </c>
      <c r="F243" s="359"/>
      <c r="G243" s="353"/>
      <c r="H243" s="364"/>
      <c r="I243" s="371">
        <v>1</v>
      </c>
      <c r="J243" s="360"/>
      <c r="K243" s="361"/>
      <c r="L243" s="368" t="s">
        <v>1814</v>
      </c>
    </row>
    <row r="244" spans="1:12" ht="15">
      <c r="A244" s="102"/>
      <c r="B244" s="375"/>
      <c r="C244" s="17"/>
      <c r="D244" s="364"/>
      <c r="E244" s="370"/>
      <c r="F244" s="359" t="s">
        <v>1305</v>
      </c>
      <c r="G244" s="353" t="s">
        <v>1007</v>
      </c>
      <c r="H244" s="364" t="s">
        <v>1825</v>
      </c>
      <c r="I244" s="371">
        <v>1</v>
      </c>
      <c r="J244" s="360"/>
      <c r="K244" s="361"/>
      <c r="L244" s="368" t="s">
        <v>1872</v>
      </c>
    </row>
    <row r="245" spans="1:12" ht="15">
      <c r="A245" s="102"/>
      <c r="B245" s="375"/>
      <c r="C245" s="17"/>
      <c r="D245" s="364"/>
      <c r="E245" s="370"/>
      <c r="F245" s="359" t="s">
        <v>1317</v>
      </c>
      <c r="G245" s="353" t="s">
        <v>1156</v>
      </c>
      <c r="H245" s="364"/>
      <c r="I245" s="371">
        <v>1</v>
      </c>
      <c r="J245" s="360"/>
      <c r="K245" s="361"/>
      <c r="L245" s="368" t="s">
        <v>1873</v>
      </c>
    </row>
    <row r="246" spans="1:12" ht="15">
      <c r="A246" s="102"/>
      <c r="B246" s="375"/>
      <c r="C246" s="17"/>
      <c r="D246" s="364"/>
      <c r="E246" s="370"/>
      <c r="F246" s="359" t="s">
        <v>1317</v>
      </c>
      <c r="G246" s="353" t="s">
        <v>1223</v>
      </c>
      <c r="H246" s="364"/>
      <c r="I246" s="371">
        <v>1</v>
      </c>
      <c r="J246" s="360"/>
      <c r="K246" s="361"/>
      <c r="L246" s="368" t="s">
        <v>1874</v>
      </c>
    </row>
    <row r="247" spans="1:12" ht="15">
      <c r="A247" s="102"/>
      <c r="B247" s="375"/>
      <c r="C247" s="17"/>
      <c r="D247" s="364"/>
      <c r="E247" s="370"/>
      <c r="F247" s="359" t="s">
        <v>1309</v>
      </c>
      <c r="G247" s="353" t="s">
        <v>1228</v>
      </c>
      <c r="H247" s="364" t="s">
        <v>1875</v>
      </c>
      <c r="I247" s="371">
        <v>6</v>
      </c>
      <c r="J247" s="360"/>
      <c r="K247" s="361"/>
      <c r="L247" s="368" t="s">
        <v>1876</v>
      </c>
    </row>
    <row r="248" spans="1:12" ht="15">
      <c r="A248" s="102"/>
      <c r="B248" s="375"/>
      <c r="C248" s="17"/>
      <c r="D248" s="364"/>
      <c r="E248" s="370"/>
      <c r="F248" s="359" t="s">
        <v>1317</v>
      </c>
      <c r="G248" s="353" t="s">
        <v>941</v>
      </c>
      <c r="H248" s="364" t="s">
        <v>3177</v>
      </c>
      <c r="I248" s="371">
        <v>1</v>
      </c>
      <c r="J248" s="360"/>
      <c r="K248" s="361"/>
      <c r="L248" s="368" t="s">
        <v>1880</v>
      </c>
    </row>
    <row r="249" spans="1:12" ht="15">
      <c r="A249" s="102"/>
      <c r="B249" s="375"/>
      <c r="C249" s="17"/>
      <c r="D249" s="364"/>
      <c r="E249" s="370"/>
      <c r="F249" s="359" t="s">
        <v>1309</v>
      </c>
      <c r="G249" s="353" t="s">
        <v>2750</v>
      </c>
      <c r="H249" s="364" t="s">
        <v>1875</v>
      </c>
      <c r="I249" s="371">
        <v>12</v>
      </c>
      <c r="J249" s="360"/>
      <c r="K249" s="361"/>
      <c r="L249" s="368" t="s">
        <v>2401</v>
      </c>
    </row>
    <row r="250" spans="1:12" ht="15">
      <c r="A250" s="102"/>
      <c r="B250" s="375"/>
      <c r="C250" s="17"/>
      <c r="D250" s="364"/>
      <c r="E250" s="370"/>
      <c r="F250" s="359" t="s">
        <v>1309</v>
      </c>
      <c r="G250" s="353" t="s">
        <v>1230</v>
      </c>
      <c r="H250" s="364"/>
      <c r="I250" s="371">
        <v>6</v>
      </c>
      <c r="J250" s="360"/>
      <c r="K250" s="361"/>
      <c r="L250" s="368" t="s">
        <v>2546</v>
      </c>
    </row>
    <row r="251" spans="1:12" ht="29.25">
      <c r="A251" s="102"/>
      <c r="B251" s="375"/>
      <c r="C251" s="17"/>
      <c r="D251" s="364" t="s">
        <v>2583</v>
      </c>
      <c r="E251" s="370" t="s">
        <v>1302</v>
      </c>
      <c r="F251" s="359"/>
      <c r="G251" s="353"/>
      <c r="H251" s="364"/>
      <c r="I251" s="371">
        <v>2</v>
      </c>
      <c r="J251" s="360"/>
      <c r="K251" s="361"/>
      <c r="L251" s="368" t="s">
        <v>2065</v>
      </c>
    </row>
    <row r="252" spans="1:12" ht="15">
      <c r="A252" s="102"/>
      <c r="B252" s="375"/>
      <c r="C252" s="17"/>
      <c r="D252" s="364"/>
      <c r="E252" s="370"/>
      <c r="F252" s="359" t="s">
        <v>1305</v>
      </c>
      <c r="G252" s="353" t="s">
        <v>1007</v>
      </c>
      <c r="H252" s="364" t="s">
        <v>2413</v>
      </c>
      <c r="I252" s="371">
        <v>1</v>
      </c>
      <c r="J252" s="360"/>
      <c r="K252" s="361"/>
      <c r="L252" s="368" t="s">
        <v>2066</v>
      </c>
    </row>
    <row r="253" spans="1:12" ht="15">
      <c r="A253" s="102"/>
      <c r="B253" s="375"/>
      <c r="C253" s="17"/>
      <c r="D253" s="364"/>
      <c r="E253" s="370"/>
      <c r="F253" s="359" t="s">
        <v>1317</v>
      </c>
      <c r="G253" s="353" t="s">
        <v>1157</v>
      </c>
      <c r="H253" s="364" t="s">
        <v>1339</v>
      </c>
      <c r="I253" s="371">
        <v>1</v>
      </c>
      <c r="J253" s="360"/>
      <c r="K253" s="361"/>
      <c r="L253" s="368" t="s">
        <v>2067</v>
      </c>
    </row>
    <row r="254" spans="1:12" ht="15">
      <c r="A254" s="102"/>
      <c r="B254" s="375"/>
      <c r="C254" s="17"/>
      <c r="D254" s="364"/>
      <c r="E254" s="370"/>
      <c r="F254" s="370" t="s">
        <v>1317</v>
      </c>
      <c r="G254" s="365" t="s">
        <v>941</v>
      </c>
      <c r="H254" s="369" t="s">
        <v>3181</v>
      </c>
      <c r="I254" s="371">
        <v>1</v>
      </c>
      <c r="J254" s="360"/>
      <c r="K254" s="361"/>
      <c r="L254" s="368" t="s">
        <v>2068</v>
      </c>
    </row>
    <row r="255" spans="1:12" ht="15">
      <c r="A255" s="102"/>
      <c r="B255" s="375"/>
      <c r="C255" s="17"/>
      <c r="D255" s="364" t="s">
        <v>2069</v>
      </c>
      <c r="E255" s="370" t="s">
        <v>1302</v>
      </c>
      <c r="F255" s="359"/>
      <c r="G255" s="353"/>
      <c r="H255" s="364"/>
      <c r="I255" s="371">
        <v>1</v>
      </c>
      <c r="J255" s="360"/>
      <c r="K255" s="361"/>
      <c r="L255" s="368" t="s">
        <v>2070</v>
      </c>
    </row>
    <row r="256" spans="1:12" ht="15">
      <c r="A256" s="102"/>
      <c r="B256" s="375"/>
      <c r="C256" s="17"/>
      <c r="D256" s="364"/>
      <c r="E256" s="370"/>
      <c r="F256" s="359" t="s">
        <v>1305</v>
      </c>
      <c r="G256" s="353" t="s">
        <v>995</v>
      </c>
      <c r="H256" s="364"/>
      <c r="I256" s="371">
        <v>1</v>
      </c>
      <c r="J256" s="360"/>
      <c r="K256" s="361"/>
      <c r="L256" s="368" t="s">
        <v>2071</v>
      </c>
    </row>
    <row r="257" spans="1:12" ht="15">
      <c r="A257" s="102"/>
      <c r="B257" s="375"/>
      <c r="C257" s="17"/>
      <c r="D257" s="364"/>
      <c r="E257" s="370"/>
      <c r="F257" s="359" t="s">
        <v>1317</v>
      </c>
      <c r="G257" s="353" t="s">
        <v>1129</v>
      </c>
      <c r="H257" s="364"/>
      <c r="I257" s="371">
        <v>1</v>
      </c>
      <c r="J257" s="360"/>
      <c r="K257" s="361"/>
      <c r="L257" s="368" t="s">
        <v>2072</v>
      </c>
    </row>
    <row r="258" spans="1:12" ht="15">
      <c r="A258" s="102"/>
      <c r="B258" s="375"/>
      <c r="C258" s="17"/>
      <c r="D258" s="364"/>
      <c r="E258" s="370"/>
      <c r="F258" s="359" t="s">
        <v>1309</v>
      </c>
      <c r="G258" s="353" t="s">
        <v>1229</v>
      </c>
      <c r="H258" s="364"/>
      <c r="I258" s="371">
        <v>2</v>
      </c>
      <c r="J258" s="360"/>
      <c r="K258" s="361"/>
      <c r="L258" s="368" t="s">
        <v>2073</v>
      </c>
    </row>
    <row r="259" spans="1:12" ht="15">
      <c r="A259" s="102"/>
      <c r="B259" s="375"/>
      <c r="C259" s="17"/>
      <c r="D259" s="364"/>
      <c r="E259" s="370"/>
      <c r="F259" s="359" t="s">
        <v>1317</v>
      </c>
      <c r="G259" s="353" t="s">
        <v>1210</v>
      </c>
      <c r="H259" s="364"/>
      <c r="I259" s="371">
        <v>2</v>
      </c>
      <c r="J259" s="360"/>
      <c r="K259" s="361"/>
      <c r="L259" s="368" t="s">
        <v>2943</v>
      </c>
    </row>
    <row r="260" spans="1:12" ht="15">
      <c r="A260" s="102"/>
      <c r="B260" s="375"/>
      <c r="C260" s="17"/>
      <c r="D260" s="364" t="s">
        <v>3363</v>
      </c>
      <c r="E260" s="370" t="s">
        <v>1302</v>
      </c>
      <c r="F260" s="359"/>
      <c r="G260" s="353"/>
      <c r="H260" s="364"/>
      <c r="I260" s="371">
        <v>1</v>
      </c>
      <c r="J260" s="360"/>
      <c r="K260" s="361"/>
      <c r="L260" s="368" t="s">
        <v>3364</v>
      </c>
    </row>
    <row r="261" spans="1:12" ht="15">
      <c r="A261" s="102"/>
      <c r="B261" s="375"/>
      <c r="C261" s="17"/>
      <c r="D261" s="364"/>
      <c r="E261" s="370"/>
      <c r="F261" s="359" t="s">
        <v>1305</v>
      </c>
      <c r="G261" s="353" t="s">
        <v>1007</v>
      </c>
      <c r="H261" s="364" t="s">
        <v>3365</v>
      </c>
      <c r="I261" s="371">
        <v>1</v>
      </c>
      <c r="J261" s="360"/>
      <c r="K261" s="361"/>
      <c r="L261" s="368" t="s">
        <v>3366</v>
      </c>
    </row>
    <row r="262" spans="1:12" ht="15">
      <c r="A262" s="102"/>
      <c r="B262" s="375"/>
      <c r="C262" s="17"/>
      <c r="D262" s="364"/>
      <c r="E262" s="370"/>
      <c r="F262" s="359" t="s">
        <v>1317</v>
      </c>
      <c r="G262" s="353" t="s">
        <v>1156</v>
      </c>
      <c r="H262" s="364"/>
      <c r="I262" s="371">
        <v>1</v>
      </c>
      <c r="J262" s="360"/>
      <c r="K262" s="361"/>
      <c r="L262" s="368" t="s">
        <v>3367</v>
      </c>
    </row>
    <row r="263" spans="1:12" ht="15">
      <c r="A263" s="102"/>
      <c r="B263" s="375"/>
      <c r="C263" s="17"/>
      <c r="D263" s="364"/>
      <c r="E263" s="370"/>
      <c r="F263" s="359" t="s">
        <v>1317</v>
      </c>
      <c r="G263" s="353" t="s">
        <v>941</v>
      </c>
      <c r="H263" s="364" t="s">
        <v>3369</v>
      </c>
      <c r="I263" s="371">
        <v>1</v>
      </c>
      <c r="J263" s="360"/>
      <c r="K263" s="361"/>
      <c r="L263" s="368" t="s">
        <v>3368</v>
      </c>
    </row>
    <row r="264" spans="1:12" ht="15">
      <c r="A264" s="102"/>
      <c r="B264" s="105"/>
      <c r="C264" s="105"/>
      <c r="D264" s="321"/>
      <c r="E264" s="396"/>
      <c r="F264" s="105"/>
      <c r="G264" s="321"/>
      <c r="H264" s="104"/>
      <c r="I264" s="417"/>
      <c r="J264" s="108"/>
      <c r="K264" s="106"/>
      <c r="L264" s="321"/>
    </row>
    <row r="265" spans="1:12">
      <c r="A265" s="353"/>
      <c r="B265" s="375" t="s">
        <v>12</v>
      </c>
      <c r="C265" s="376" t="s">
        <v>63</v>
      </c>
      <c r="D265" s="376"/>
      <c r="E265" s="400"/>
      <c r="F265" s="377"/>
      <c r="G265" s="375"/>
      <c r="H265" s="376" t="s">
        <v>3428</v>
      </c>
      <c r="I265" s="419">
        <v>1</v>
      </c>
      <c r="J265" s="378"/>
      <c r="K265" s="379"/>
      <c r="L265" s="446" t="s">
        <v>1795</v>
      </c>
    </row>
    <row r="266" spans="1:12" ht="28.5">
      <c r="A266" s="353"/>
      <c r="B266" s="375"/>
      <c r="C266" s="17"/>
      <c r="D266" s="17" t="s">
        <v>1794</v>
      </c>
      <c r="E266" s="370" t="s">
        <v>1311</v>
      </c>
      <c r="F266" s="359"/>
      <c r="G266" s="353"/>
      <c r="H266" s="364" t="s">
        <v>1867</v>
      </c>
      <c r="I266" s="371">
        <v>2</v>
      </c>
      <c r="J266" s="360"/>
      <c r="K266" s="361"/>
      <c r="L266" s="368" t="s">
        <v>1796</v>
      </c>
    </row>
    <row r="267" spans="1:12" ht="15">
      <c r="A267" s="102"/>
      <c r="B267" s="105"/>
      <c r="C267" s="105"/>
      <c r="D267" s="321"/>
      <c r="E267" s="396"/>
      <c r="F267" s="105"/>
      <c r="G267" s="321"/>
      <c r="H267" s="104"/>
      <c r="I267" s="417"/>
      <c r="J267" s="108"/>
      <c r="K267" s="106"/>
      <c r="L267" s="321"/>
    </row>
    <row r="268" spans="1:12">
      <c r="A268" s="353"/>
      <c r="B268" s="375" t="s">
        <v>12</v>
      </c>
      <c r="C268" s="376" t="s">
        <v>66</v>
      </c>
      <c r="D268" s="376"/>
      <c r="E268" s="400"/>
      <c r="F268" s="377"/>
      <c r="G268" s="375"/>
      <c r="H268" s="376" t="s">
        <v>3428</v>
      </c>
      <c r="I268" s="419">
        <v>1</v>
      </c>
      <c r="J268" s="378"/>
      <c r="K268" s="379"/>
      <c r="L268" s="446" t="s">
        <v>1797</v>
      </c>
    </row>
    <row r="269" spans="1:12">
      <c r="A269" s="353"/>
      <c r="B269" s="375"/>
      <c r="C269" s="17"/>
      <c r="D269" s="17" t="s">
        <v>66</v>
      </c>
      <c r="E269" s="370" t="s">
        <v>1311</v>
      </c>
      <c r="F269" s="359"/>
      <c r="G269" s="353"/>
      <c r="H269" s="17" t="s">
        <v>3970</v>
      </c>
      <c r="I269" s="371">
        <v>1</v>
      </c>
      <c r="J269" s="360"/>
      <c r="K269" s="361"/>
      <c r="L269" s="368" t="s">
        <v>1798</v>
      </c>
    </row>
    <row r="270" spans="1:12" ht="15">
      <c r="A270" s="102"/>
      <c r="B270" s="375"/>
      <c r="C270" s="17"/>
      <c r="D270" s="17" t="s">
        <v>2586</v>
      </c>
      <c r="E270" s="370" t="s">
        <v>1302</v>
      </c>
      <c r="F270" s="359"/>
      <c r="G270" s="353"/>
      <c r="H270" s="17"/>
      <c r="I270" s="371">
        <v>1</v>
      </c>
      <c r="J270" s="360"/>
      <c r="K270" s="361"/>
      <c r="L270" s="368" t="s">
        <v>2587</v>
      </c>
    </row>
    <row r="271" spans="1:12" ht="15">
      <c r="A271" s="102"/>
      <c r="B271" s="375"/>
      <c r="C271" s="17"/>
      <c r="D271" s="17"/>
      <c r="E271" s="370"/>
      <c r="F271" s="359" t="s">
        <v>1305</v>
      </c>
      <c r="G271" s="353" t="s">
        <v>1009</v>
      </c>
      <c r="H271" s="17" t="s">
        <v>2590</v>
      </c>
      <c r="I271" s="371">
        <v>1</v>
      </c>
      <c r="J271" s="360"/>
      <c r="K271" s="361"/>
      <c r="L271" s="368" t="s">
        <v>2591</v>
      </c>
    </row>
    <row r="272" spans="1:12" ht="15">
      <c r="A272" s="102"/>
      <c r="B272" s="375"/>
      <c r="C272" s="17"/>
      <c r="D272" s="17"/>
      <c r="E272" s="370"/>
      <c r="F272" s="359" t="s">
        <v>1317</v>
      </c>
      <c r="G272" s="353" t="s">
        <v>2592</v>
      </c>
      <c r="H272" s="17"/>
      <c r="I272" s="371">
        <v>2</v>
      </c>
      <c r="J272" s="360"/>
      <c r="K272" s="361"/>
      <c r="L272" s="368" t="s">
        <v>2593</v>
      </c>
    </row>
    <row r="273" spans="1:12" ht="15">
      <c r="A273" s="102"/>
      <c r="B273" s="375"/>
      <c r="C273" s="17"/>
      <c r="D273" s="17"/>
      <c r="E273" s="370"/>
      <c r="F273" s="359" t="s">
        <v>1317</v>
      </c>
      <c r="G273" s="353" t="s">
        <v>941</v>
      </c>
      <c r="H273" s="17"/>
      <c r="I273" s="371">
        <v>2</v>
      </c>
      <c r="J273" s="360"/>
      <c r="K273" s="361"/>
      <c r="L273" s="368" t="s">
        <v>2594</v>
      </c>
    </row>
    <row r="274" spans="1:12" ht="15">
      <c r="A274" s="102"/>
      <c r="B274" s="375"/>
      <c r="C274" s="17"/>
      <c r="D274" s="17" t="s">
        <v>2588</v>
      </c>
      <c r="E274" s="370" t="s">
        <v>1302</v>
      </c>
      <c r="F274" s="359"/>
      <c r="G274" s="353"/>
      <c r="H274" s="17"/>
      <c r="I274" s="371">
        <v>1</v>
      </c>
      <c r="J274" s="360"/>
      <c r="K274" s="361"/>
      <c r="L274" s="368" t="s">
        <v>2589</v>
      </c>
    </row>
    <row r="275" spans="1:12" ht="15">
      <c r="A275" s="102"/>
      <c r="B275" s="375"/>
      <c r="C275" s="17"/>
      <c r="D275" s="17"/>
      <c r="E275" s="370"/>
      <c r="F275" s="359" t="s">
        <v>1309</v>
      </c>
      <c r="G275" s="353" t="s">
        <v>1228</v>
      </c>
      <c r="H275" s="17" t="s">
        <v>2506</v>
      </c>
      <c r="I275" s="371">
        <v>2</v>
      </c>
      <c r="J275" s="360"/>
      <c r="K275" s="361"/>
      <c r="L275" s="368" t="s">
        <v>2595</v>
      </c>
    </row>
    <row r="276" spans="1:12" ht="15">
      <c r="A276" s="102"/>
      <c r="B276" s="375"/>
      <c r="C276" s="17"/>
      <c r="D276" s="17"/>
      <c r="E276" s="370"/>
      <c r="F276" s="359" t="s">
        <v>1309</v>
      </c>
      <c r="G276" s="353" t="s">
        <v>1230</v>
      </c>
      <c r="H276" s="17" t="s">
        <v>2034</v>
      </c>
      <c r="I276" s="371">
        <v>2</v>
      </c>
      <c r="J276" s="360"/>
      <c r="K276" s="361"/>
      <c r="L276" s="368" t="s">
        <v>2596</v>
      </c>
    </row>
    <row r="277" spans="1:12" ht="15">
      <c r="A277" s="102"/>
      <c r="B277" s="375"/>
      <c r="C277" s="17"/>
      <c r="D277" s="17"/>
      <c r="E277" s="370"/>
      <c r="F277" s="359" t="s">
        <v>1317</v>
      </c>
      <c r="G277" s="353" t="s">
        <v>1199</v>
      </c>
      <c r="H277" s="17" t="s">
        <v>3182</v>
      </c>
      <c r="I277" s="371">
        <v>1</v>
      </c>
      <c r="J277" s="360"/>
      <c r="K277" s="361"/>
      <c r="L277" s="368" t="s">
        <v>2597</v>
      </c>
    </row>
    <row r="278" spans="1:12" ht="15">
      <c r="A278" s="102"/>
      <c r="B278" s="105"/>
      <c r="C278" s="105"/>
      <c r="D278" s="321"/>
      <c r="E278" s="396"/>
      <c r="F278" s="105"/>
      <c r="G278" s="321"/>
      <c r="H278" s="104"/>
      <c r="I278" s="417"/>
      <c r="J278" s="108"/>
      <c r="K278" s="106"/>
      <c r="L278" s="321"/>
    </row>
    <row r="279" spans="1:12">
      <c r="A279" s="353"/>
      <c r="B279" s="375" t="s">
        <v>12</v>
      </c>
      <c r="C279" s="376" t="s">
        <v>56</v>
      </c>
      <c r="D279" s="376"/>
      <c r="E279" s="400"/>
      <c r="F279" s="377"/>
      <c r="G279" s="375"/>
      <c r="H279" s="376" t="s">
        <v>3428</v>
      </c>
      <c r="I279" s="419">
        <v>1</v>
      </c>
      <c r="J279" s="378"/>
      <c r="K279" s="379"/>
      <c r="L279" s="446" t="s">
        <v>1843</v>
      </c>
    </row>
    <row r="280" spans="1:12" ht="28.5">
      <c r="A280" s="353"/>
      <c r="B280" s="375"/>
      <c r="C280" s="17"/>
      <c r="D280" s="368" t="s">
        <v>1842</v>
      </c>
      <c r="E280" s="370" t="s">
        <v>1311</v>
      </c>
      <c r="F280" s="388"/>
      <c r="G280" s="368"/>
      <c r="H280" s="369" t="s">
        <v>1882</v>
      </c>
      <c r="I280" s="371">
        <v>1</v>
      </c>
      <c r="J280" s="360"/>
      <c r="K280" s="361"/>
      <c r="L280" s="368" t="s">
        <v>1844</v>
      </c>
    </row>
    <row r="281" spans="1:12" ht="15">
      <c r="A281" s="102"/>
      <c r="B281" s="105"/>
      <c r="C281" s="105"/>
      <c r="D281" s="321"/>
      <c r="E281" s="396"/>
      <c r="F281" s="105"/>
      <c r="G281" s="321"/>
      <c r="H281" s="104"/>
      <c r="I281" s="417"/>
      <c r="J281" s="108"/>
      <c r="K281" s="106"/>
      <c r="L281" s="321"/>
    </row>
    <row r="282" spans="1:12">
      <c r="A282" s="353"/>
      <c r="B282" s="375" t="s">
        <v>12</v>
      </c>
      <c r="C282" s="376" t="s">
        <v>55</v>
      </c>
      <c r="D282" s="376"/>
      <c r="E282" s="400"/>
      <c r="F282" s="377"/>
      <c r="G282" s="375"/>
      <c r="H282" s="376"/>
      <c r="I282" s="419">
        <v>1</v>
      </c>
      <c r="J282" s="378"/>
      <c r="K282" s="379"/>
      <c r="L282" s="446" t="s">
        <v>1845</v>
      </c>
    </row>
    <row r="283" spans="1:12" ht="28.5">
      <c r="A283" s="353"/>
      <c r="B283" s="375"/>
      <c r="C283" s="17"/>
      <c r="D283" s="364" t="s">
        <v>1848</v>
      </c>
      <c r="E283" s="370" t="s">
        <v>1302</v>
      </c>
      <c r="F283" s="359"/>
      <c r="G283" s="353"/>
      <c r="H283" s="17"/>
      <c r="I283" s="371">
        <v>1</v>
      </c>
      <c r="J283" s="360"/>
      <c r="K283" s="361"/>
      <c r="L283" s="368" t="s">
        <v>1846</v>
      </c>
    </row>
    <row r="284" spans="1:12">
      <c r="A284" s="353"/>
      <c r="B284" s="375"/>
      <c r="C284" s="17"/>
      <c r="D284" s="364"/>
      <c r="E284" s="370"/>
      <c r="F284" s="359" t="s">
        <v>1305</v>
      </c>
      <c r="G284" s="353" t="s">
        <v>1007</v>
      </c>
      <c r="H284" s="17" t="s">
        <v>1362</v>
      </c>
      <c r="I284" s="371">
        <v>1</v>
      </c>
      <c r="J284" s="360"/>
      <c r="K284" s="361"/>
      <c r="L284" s="368" t="s">
        <v>1850</v>
      </c>
    </row>
    <row r="285" spans="1:12">
      <c r="A285" s="353"/>
      <c r="B285" s="375"/>
      <c r="C285" s="17"/>
      <c r="D285" s="364"/>
      <c r="E285" s="370"/>
      <c r="F285" s="359" t="s">
        <v>1317</v>
      </c>
      <c r="G285" s="353" t="s">
        <v>1157</v>
      </c>
      <c r="H285" s="17" t="s">
        <v>1600</v>
      </c>
      <c r="I285" s="371">
        <v>1</v>
      </c>
      <c r="J285" s="360"/>
      <c r="K285" s="361"/>
      <c r="L285" s="368" t="s">
        <v>1851</v>
      </c>
    </row>
    <row r="286" spans="1:12">
      <c r="A286" s="353"/>
      <c r="B286" s="375"/>
      <c r="C286" s="17"/>
      <c r="D286" s="364"/>
      <c r="E286" s="370"/>
      <c r="F286" s="359" t="s">
        <v>1317</v>
      </c>
      <c r="G286" s="353" t="s">
        <v>1199</v>
      </c>
      <c r="H286" s="17" t="s">
        <v>3740</v>
      </c>
      <c r="I286" s="371">
        <v>1</v>
      </c>
      <c r="J286" s="360"/>
      <c r="K286" s="361"/>
      <c r="L286" s="368" t="s">
        <v>2598</v>
      </c>
    </row>
    <row r="287" spans="1:12">
      <c r="A287" s="353"/>
      <c r="B287" s="375"/>
      <c r="C287" s="17"/>
      <c r="D287" s="364"/>
      <c r="E287" s="370"/>
      <c r="F287" s="359" t="s">
        <v>1317</v>
      </c>
      <c r="G287" s="353" t="s">
        <v>1199</v>
      </c>
      <c r="H287" s="17" t="s">
        <v>3211</v>
      </c>
      <c r="I287" s="371">
        <v>1</v>
      </c>
      <c r="J287" s="360"/>
      <c r="K287" s="361"/>
      <c r="L287" s="368" t="s">
        <v>2600</v>
      </c>
    </row>
    <row r="288" spans="1:12">
      <c r="A288" s="353"/>
      <c r="B288" s="375"/>
      <c r="C288" s="17"/>
      <c r="D288" s="364"/>
      <c r="E288" s="370"/>
      <c r="F288" s="359" t="s">
        <v>1309</v>
      </c>
      <c r="G288" s="353" t="s">
        <v>1228</v>
      </c>
      <c r="H288" s="17" t="s">
        <v>2768</v>
      </c>
      <c r="I288" s="371">
        <v>1</v>
      </c>
      <c r="J288" s="360"/>
      <c r="K288" s="361"/>
      <c r="L288" s="368" t="s">
        <v>2844</v>
      </c>
    </row>
    <row r="289" spans="1:12">
      <c r="A289" s="353"/>
      <c r="B289" s="375"/>
      <c r="C289" s="17"/>
      <c r="D289" s="364"/>
      <c r="E289" s="370"/>
      <c r="F289" s="359" t="s">
        <v>1309</v>
      </c>
      <c r="G289" s="353" t="s">
        <v>1230</v>
      </c>
      <c r="H289" s="17" t="s">
        <v>1565</v>
      </c>
      <c r="I289" s="371">
        <v>1</v>
      </c>
      <c r="J289" s="360"/>
      <c r="K289" s="361"/>
      <c r="L289" s="368" t="s">
        <v>2845</v>
      </c>
    </row>
    <row r="290" spans="1:12" ht="28.5">
      <c r="A290" s="353"/>
      <c r="B290" s="375"/>
      <c r="C290" s="17"/>
      <c r="D290" s="364"/>
      <c r="E290" s="370"/>
      <c r="F290" s="359" t="s">
        <v>1317</v>
      </c>
      <c r="G290" s="353" t="s">
        <v>1199</v>
      </c>
      <c r="H290" s="364" t="s">
        <v>3183</v>
      </c>
      <c r="I290" s="371">
        <v>1</v>
      </c>
      <c r="J290" s="360"/>
      <c r="K290" s="361"/>
      <c r="L290" s="368" t="s">
        <v>2848</v>
      </c>
    </row>
    <row r="291" spans="1:12">
      <c r="A291" s="353"/>
      <c r="B291" s="375"/>
      <c r="C291" s="17"/>
      <c r="D291" s="364"/>
      <c r="E291" s="370"/>
      <c r="F291" s="359" t="s">
        <v>1309</v>
      </c>
      <c r="G291" s="353" t="s">
        <v>1228</v>
      </c>
      <c r="H291" s="364" t="s">
        <v>3695</v>
      </c>
      <c r="I291" s="371">
        <v>2</v>
      </c>
      <c r="J291" s="360"/>
      <c r="K291" s="361"/>
      <c r="L291" s="368" t="s">
        <v>3696</v>
      </c>
    </row>
    <row r="292" spans="1:12">
      <c r="A292" s="353"/>
      <c r="B292" s="375"/>
      <c r="C292" s="17"/>
      <c r="D292" s="364"/>
      <c r="E292" s="370"/>
      <c r="F292" s="359" t="s">
        <v>1309</v>
      </c>
      <c r="G292" s="353" t="s">
        <v>1235</v>
      </c>
      <c r="H292" s="364" t="s">
        <v>1623</v>
      </c>
      <c r="I292" s="371">
        <v>2</v>
      </c>
      <c r="J292" s="360"/>
      <c r="K292" s="361"/>
      <c r="L292" s="368" t="s">
        <v>3698</v>
      </c>
    </row>
    <row r="293" spans="1:12">
      <c r="A293" s="353"/>
      <c r="B293" s="375"/>
      <c r="C293" s="17"/>
      <c r="D293" s="364"/>
      <c r="E293" s="370"/>
      <c r="F293" s="359" t="s">
        <v>1309</v>
      </c>
      <c r="G293" s="353" t="s">
        <v>3736</v>
      </c>
      <c r="H293" s="364" t="s">
        <v>3737</v>
      </c>
      <c r="I293" s="371">
        <v>1</v>
      </c>
      <c r="J293" s="360"/>
      <c r="K293" s="361"/>
      <c r="L293" s="368" t="s">
        <v>3735</v>
      </c>
    </row>
    <row r="294" spans="1:12">
      <c r="A294" s="353"/>
      <c r="B294" s="375"/>
      <c r="C294" s="17"/>
      <c r="D294" s="364"/>
      <c r="E294" s="370"/>
      <c r="F294" s="359" t="s">
        <v>1317</v>
      </c>
      <c r="G294" s="353" t="s">
        <v>1199</v>
      </c>
      <c r="H294" s="364" t="s">
        <v>3739</v>
      </c>
      <c r="I294" s="371">
        <v>1</v>
      </c>
      <c r="J294" s="360"/>
      <c r="K294" s="361"/>
      <c r="L294" s="368" t="s">
        <v>3738</v>
      </c>
    </row>
    <row r="295" spans="1:12">
      <c r="A295" s="353"/>
      <c r="B295" s="375"/>
      <c r="C295" s="17"/>
      <c r="D295" s="364"/>
      <c r="E295" s="370"/>
      <c r="F295" s="359" t="s">
        <v>1317</v>
      </c>
      <c r="G295" s="353" t="s">
        <v>1210</v>
      </c>
      <c r="H295" s="364" t="s">
        <v>3744</v>
      </c>
      <c r="I295" s="371">
        <v>8</v>
      </c>
      <c r="J295" s="360"/>
      <c r="K295" s="361"/>
      <c r="L295" s="368" t="s">
        <v>3742</v>
      </c>
    </row>
    <row r="296" spans="1:12" ht="28.5">
      <c r="A296" s="102"/>
      <c r="B296" s="375"/>
      <c r="C296" s="17"/>
      <c r="D296" s="369" t="s">
        <v>1849</v>
      </c>
      <c r="E296" s="370" t="s">
        <v>1302</v>
      </c>
      <c r="F296" s="370"/>
      <c r="G296" s="365"/>
      <c r="H296" s="368"/>
      <c r="I296" s="371">
        <v>1</v>
      </c>
      <c r="J296" s="372"/>
      <c r="K296" s="373"/>
      <c r="L296" s="368" t="s">
        <v>1847</v>
      </c>
    </row>
    <row r="297" spans="1:12" ht="15">
      <c r="A297" s="102"/>
      <c r="B297" s="375"/>
      <c r="C297" s="17"/>
      <c r="D297" s="364"/>
      <c r="E297" s="370"/>
      <c r="F297" s="359" t="s">
        <v>1305</v>
      </c>
      <c r="G297" s="353" t="s">
        <v>1007</v>
      </c>
      <c r="H297" s="17" t="s">
        <v>1362</v>
      </c>
      <c r="I297" s="371">
        <v>1</v>
      </c>
      <c r="J297" s="360"/>
      <c r="K297" s="361"/>
      <c r="L297" s="368" t="s">
        <v>1854</v>
      </c>
    </row>
    <row r="298" spans="1:12" ht="15">
      <c r="A298" s="102"/>
      <c r="B298" s="375"/>
      <c r="C298" s="17"/>
      <c r="D298" s="364"/>
      <c r="E298" s="370"/>
      <c r="F298" s="359" t="s">
        <v>1317</v>
      </c>
      <c r="G298" s="353" t="s">
        <v>1157</v>
      </c>
      <c r="H298" s="17" t="s">
        <v>1757</v>
      </c>
      <c r="I298" s="371">
        <v>1</v>
      </c>
      <c r="J298" s="360"/>
      <c r="K298" s="361"/>
      <c r="L298" s="368" t="s">
        <v>1855</v>
      </c>
    </row>
    <row r="299" spans="1:12" ht="15">
      <c r="A299" s="102"/>
      <c r="B299" s="375"/>
      <c r="C299" s="17"/>
      <c r="D299" s="364"/>
      <c r="E299" s="370"/>
      <c r="F299" s="359" t="s">
        <v>1317</v>
      </c>
      <c r="G299" s="353" t="s">
        <v>1199</v>
      </c>
      <c r="H299" s="17" t="s">
        <v>3184</v>
      </c>
      <c r="I299" s="371">
        <v>1</v>
      </c>
      <c r="J299" s="360"/>
      <c r="K299" s="361"/>
      <c r="L299" s="368" t="s">
        <v>2599</v>
      </c>
    </row>
    <row r="300" spans="1:12" ht="15">
      <c r="A300" s="102"/>
      <c r="B300" s="375"/>
      <c r="C300" s="17"/>
      <c r="D300" s="364"/>
      <c r="E300" s="370"/>
      <c r="F300" s="359" t="s">
        <v>1317</v>
      </c>
      <c r="G300" s="353" t="s">
        <v>1199</v>
      </c>
      <c r="H300" s="17" t="s">
        <v>3211</v>
      </c>
      <c r="I300" s="371">
        <v>1</v>
      </c>
      <c r="J300" s="360"/>
      <c r="K300" s="361"/>
      <c r="L300" s="368" t="s">
        <v>2601</v>
      </c>
    </row>
    <row r="301" spans="1:12" ht="15">
      <c r="A301" s="102"/>
      <c r="B301" s="375"/>
      <c r="C301" s="17"/>
      <c r="D301" s="364"/>
      <c r="E301" s="370"/>
      <c r="F301" s="359" t="s">
        <v>1309</v>
      </c>
      <c r="G301" s="353" t="s">
        <v>1228</v>
      </c>
      <c r="H301" s="17" t="s">
        <v>2768</v>
      </c>
      <c r="I301" s="371">
        <v>1</v>
      </c>
      <c r="J301" s="360"/>
      <c r="K301" s="361"/>
      <c r="L301" s="368" t="s">
        <v>2846</v>
      </c>
    </row>
    <row r="302" spans="1:12" ht="15">
      <c r="A302" s="102"/>
      <c r="B302" s="375"/>
      <c r="C302" s="17"/>
      <c r="D302" s="364"/>
      <c r="E302" s="370"/>
      <c r="F302" s="359" t="s">
        <v>1309</v>
      </c>
      <c r="G302" s="353" t="s">
        <v>1230</v>
      </c>
      <c r="H302" s="17" t="s">
        <v>1565</v>
      </c>
      <c r="I302" s="371">
        <v>1</v>
      </c>
      <c r="J302" s="360"/>
      <c r="K302" s="361"/>
      <c r="L302" s="368" t="s">
        <v>2847</v>
      </c>
    </row>
    <row r="303" spans="1:12" ht="29.25">
      <c r="A303" s="102"/>
      <c r="B303" s="375"/>
      <c r="C303" s="17"/>
      <c r="D303" s="364"/>
      <c r="E303" s="370"/>
      <c r="F303" s="359" t="s">
        <v>1317</v>
      </c>
      <c r="G303" s="353" t="s">
        <v>1199</v>
      </c>
      <c r="H303" s="364" t="s">
        <v>3183</v>
      </c>
      <c r="I303" s="371">
        <v>1</v>
      </c>
      <c r="J303" s="360"/>
      <c r="K303" s="361"/>
      <c r="L303" s="368" t="s">
        <v>2849</v>
      </c>
    </row>
    <row r="304" spans="1:12" ht="15">
      <c r="A304" s="102"/>
      <c r="B304" s="375"/>
      <c r="C304" s="17"/>
      <c r="D304" s="364"/>
      <c r="E304" s="370"/>
      <c r="F304" s="359" t="s">
        <v>1309</v>
      </c>
      <c r="G304" s="353" t="s">
        <v>1228</v>
      </c>
      <c r="H304" s="364" t="s">
        <v>3695</v>
      </c>
      <c r="I304" s="371">
        <v>2</v>
      </c>
      <c r="J304" s="360"/>
      <c r="K304" s="361"/>
      <c r="L304" s="368" t="s">
        <v>3697</v>
      </c>
    </row>
    <row r="305" spans="1:12" ht="15">
      <c r="A305" s="102"/>
      <c r="B305" s="375"/>
      <c r="C305" s="17"/>
      <c r="D305" s="364"/>
      <c r="E305" s="370"/>
      <c r="F305" s="359" t="s">
        <v>1309</v>
      </c>
      <c r="G305" s="353" t="s">
        <v>1235</v>
      </c>
      <c r="H305" s="364" t="s">
        <v>1623</v>
      </c>
      <c r="I305" s="371">
        <v>2</v>
      </c>
      <c r="J305" s="360"/>
      <c r="K305" s="361"/>
      <c r="L305" s="368" t="s">
        <v>3699</v>
      </c>
    </row>
    <row r="306" spans="1:12" ht="15">
      <c r="A306" s="102"/>
      <c r="B306" s="375"/>
      <c r="C306" s="17"/>
      <c r="D306" s="364"/>
      <c r="E306" s="370"/>
      <c r="F306" s="359" t="s">
        <v>1317</v>
      </c>
      <c r="G306" s="353" t="s">
        <v>1210</v>
      </c>
      <c r="H306" s="364" t="s">
        <v>3741</v>
      </c>
      <c r="I306" s="371">
        <v>7</v>
      </c>
      <c r="J306" s="360"/>
      <c r="K306" s="361"/>
      <c r="L306" s="368" t="s">
        <v>3743</v>
      </c>
    </row>
    <row r="307" spans="1:12" ht="15">
      <c r="A307" s="102"/>
      <c r="B307" s="375"/>
      <c r="C307" s="17"/>
      <c r="D307" s="364" t="s">
        <v>2602</v>
      </c>
      <c r="E307" s="370" t="s">
        <v>1311</v>
      </c>
      <c r="F307" s="359"/>
      <c r="G307" s="353"/>
      <c r="H307" s="17" t="s">
        <v>2603</v>
      </c>
      <c r="I307" s="371">
        <v>2</v>
      </c>
      <c r="J307" s="360"/>
      <c r="K307" s="361"/>
      <c r="L307" s="368" t="s">
        <v>2604</v>
      </c>
    </row>
    <row r="308" spans="1:12" ht="15">
      <c r="A308" s="102"/>
      <c r="B308" s="375"/>
      <c r="C308" s="17"/>
      <c r="D308" s="364" t="s">
        <v>2602</v>
      </c>
      <c r="E308" s="370" t="s">
        <v>1311</v>
      </c>
      <c r="F308" s="359"/>
      <c r="G308" s="353"/>
      <c r="H308" s="17" t="s">
        <v>2605</v>
      </c>
      <c r="I308" s="371">
        <v>2</v>
      </c>
      <c r="J308" s="360"/>
      <c r="K308" s="361"/>
      <c r="L308" s="368" t="s">
        <v>2606</v>
      </c>
    </row>
    <row r="309" spans="1:12" ht="15">
      <c r="A309" s="102"/>
      <c r="B309" s="375"/>
      <c r="C309" s="17"/>
      <c r="D309" s="364" t="s">
        <v>2613</v>
      </c>
      <c r="E309" s="370" t="s">
        <v>1302</v>
      </c>
      <c r="F309" s="359"/>
      <c r="G309" s="353"/>
      <c r="H309" s="17"/>
      <c r="I309" s="371">
        <v>2</v>
      </c>
      <c r="J309" s="360"/>
      <c r="K309" s="361"/>
      <c r="L309" s="368" t="s">
        <v>2607</v>
      </c>
    </row>
    <row r="310" spans="1:12" ht="15">
      <c r="A310" s="102"/>
      <c r="B310" s="375"/>
      <c r="C310" s="17"/>
      <c r="D310" s="364"/>
      <c r="E310" s="370"/>
      <c r="F310" s="359" t="s">
        <v>1305</v>
      </c>
      <c r="G310" s="353" t="s">
        <v>1009</v>
      </c>
      <c r="H310" s="17"/>
      <c r="I310" s="371">
        <v>1</v>
      </c>
      <c r="J310" s="360"/>
      <c r="K310" s="361"/>
      <c r="L310" s="368" t="s">
        <v>2608</v>
      </c>
    </row>
    <row r="311" spans="1:12" ht="15">
      <c r="A311" s="102"/>
      <c r="B311" s="375"/>
      <c r="C311" s="17"/>
      <c r="D311" s="364"/>
      <c r="E311" s="370"/>
      <c r="F311" s="359" t="s">
        <v>1317</v>
      </c>
      <c r="G311" s="353" t="s">
        <v>1208</v>
      </c>
      <c r="H311" s="17" t="s">
        <v>2611</v>
      </c>
      <c r="I311" s="371">
        <v>2</v>
      </c>
      <c r="J311" s="360"/>
      <c r="K311" s="361"/>
      <c r="L311" s="368" t="s">
        <v>2609</v>
      </c>
    </row>
    <row r="312" spans="1:12" ht="29.25">
      <c r="A312" s="102"/>
      <c r="B312" s="375"/>
      <c r="C312" s="17"/>
      <c r="D312" s="364"/>
      <c r="E312" s="370"/>
      <c r="F312" s="370" t="s">
        <v>1317</v>
      </c>
      <c r="G312" s="365" t="s">
        <v>1223</v>
      </c>
      <c r="H312" s="364" t="s">
        <v>2612</v>
      </c>
      <c r="I312" s="371">
        <v>2</v>
      </c>
      <c r="J312" s="360"/>
      <c r="K312" s="361"/>
      <c r="L312" s="368" t="s">
        <v>2610</v>
      </c>
    </row>
    <row r="313" spans="1:12" ht="15">
      <c r="A313" s="102"/>
      <c r="B313" s="375"/>
      <c r="C313" s="17"/>
      <c r="D313" s="364"/>
      <c r="E313" s="370"/>
      <c r="F313" s="370" t="s">
        <v>1309</v>
      </c>
      <c r="G313" s="365" t="s">
        <v>1230</v>
      </c>
      <c r="H313" s="364" t="s">
        <v>2614</v>
      </c>
      <c r="I313" s="371">
        <v>2</v>
      </c>
      <c r="J313" s="360"/>
      <c r="K313" s="361"/>
      <c r="L313" s="368" t="s">
        <v>2615</v>
      </c>
    </row>
    <row r="314" spans="1:12" ht="15">
      <c r="A314" s="102"/>
      <c r="B314" s="375"/>
      <c r="C314" s="17"/>
      <c r="D314" s="364"/>
      <c r="E314" s="370"/>
      <c r="F314" s="370" t="s">
        <v>1309</v>
      </c>
      <c r="G314" s="365" t="s">
        <v>1230</v>
      </c>
      <c r="H314" s="364" t="s">
        <v>2617</v>
      </c>
      <c r="I314" s="371">
        <v>2</v>
      </c>
      <c r="J314" s="360"/>
      <c r="K314" s="361"/>
      <c r="L314" s="368" t="s">
        <v>2616</v>
      </c>
    </row>
    <row r="315" spans="1:12" ht="15">
      <c r="A315" s="102"/>
      <c r="B315" s="375"/>
      <c r="C315" s="17"/>
      <c r="D315" s="364"/>
      <c r="E315" s="370"/>
      <c r="F315" s="370" t="s">
        <v>1317</v>
      </c>
      <c r="G315" s="365" t="s">
        <v>1210</v>
      </c>
      <c r="H315" s="364"/>
      <c r="I315" s="371">
        <v>4</v>
      </c>
      <c r="J315" s="360"/>
      <c r="K315" s="361"/>
      <c r="L315" s="368" t="s">
        <v>2618</v>
      </c>
    </row>
    <row r="316" spans="1:12" ht="15">
      <c r="A316" s="102"/>
      <c r="B316" s="375"/>
      <c r="C316" s="17"/>
      <c r="D316" s="364"/>
      <c r="E316" s="370"/>
      <c r="F316" s="370" t="s">
        <v>1317</v>
      </c>
      <c r="G316" s="365" t="s">
        <v>1199</v>
      </c>
      <c r="H316" s="364" t="s">
        <v>3185</v>
      </c>
      <c r="I316" s="371">
        <v>1</v>
      </c>
      <c r="J316" s="360"/>
      <c r="K316" s="361"/>
      <c r="L316" s="368" t="s">
        <v>2619</v>
      </c>
    </row>
    <row r="317" spans="1:12" ht="15">
      <c r="A317" s="102"/>
      <c r="B317" s="375"/>
      <c r="C317" s="17"/>
      <c r="D317" s="364"/>
      <c r="E317" s="370"/>
      <c r="F317" s="370" t="s">
        <v>1317</v>
      </c>
      <c r="G317" s="365" t="s">
        <v>1199</v>
      </c>
      <c r="H317" s="364" t="s">
        <v>3186</v>
      </c>
      <c r="I317" s="371">
        <v>1</v>
      </c>
      <c r="J317" s="360"/>
      <c r="K317" s="361"/>
      <c r="L317" s="368" t="s">
        <v>2620</v>
      </c>
    </row>
    <row r="318" spans="1:12" ht="15">
      <c r="A318" s="102"/>
      <c r="B318" s="105"/>
      <c r="C318" s="105"/>
      <c r="D318" s="321"/>
      <c r="E318" s="396"/>
      <c r="F318" s="105"/>
      <c r="G318" s="321"/>
      <c r="H318" s="104"/>
      <c r="I318" s="417"/>
      <c r="J318" s="108"/>
      <c r="K318" s="106"/>
      <c r="L318" s="321"/>
    </row>
    <row r="319" spans="1:12">
      <c r="A319" s="353"/>
      <c r="B319" s="375" t="s">
        <v>12</v>
      </c>
      <c r="C319" s="376" t="s">
        <v>68</v>
      </c>
      <c r="D319" s="376"/>
      <c r="E319" s="400"/>
      <c r="F319" s="377"/>
      <c r="G319" s="375"/>
      <c r="H319" s="376"/>
      <c r="I319" s="419">
        <v>1</v>
      </c>
      <c r="J319" s="378"/>
      <c r="K319" s="379"/>
      <c r="L319" s="446" t="s">
        <v>1856</v>
      </c>
    </row>
    <row r="320" spans="1:12">
      <c r="A320" s="353"/>
      <c r="B320" s="375"/>
      <c r="C320" s="17"/>
      <c r="D320" s="17" t="s">
        <v>3702</v>
      </c>
      <c r="E320" s="370" t="s">
        <v>1302</v>
      </c>
      <c r="F320" s="359"/>
      <c r="G320" s="353"/>
      <c r="H320" s="17"/>
      <c r="I320" s="371">
        <v>1</v>
      </c>
      <c r="J320" s="360"/>
      <c r="K320" s="361"/>
      <c r="L320" s="368" t="s">
        <v>1857</v>
      </c>
    </row>
    <row r="321" spans="1:12">
      <c r="A321" s="353"/>
      <c r="B321" s="375"/>
      <c r="C321" s="17"/>
      <c r="D321" s="17"/>
      <c r="E321" s="370"/>
      <c r="F321" s="359" t="s">
        <v>1317</v>
      </c>
      <c r="G321" s="353" t="s">
        <v>1199</v>
      </c>
      <c r="H321" s="17" t="s">
        <v>3187</v>
      </c>
      <c r="I321" s="371">
        <v>1</v>
      </c>
      <c r="J321" s="360"/>
      <c r="K321" s="361"/>
      <c r="L321" s="368" t="s">
        <v>2293</v>
      </c>
    </row>
    <row r="322" spans="1:12">
      <c r="A322" s="353"/>
      <c r="B322" s="375"/>
      <c r="C322" s="17"/>
      <c r="D322" s="17"/>
      <c r="E322" s="370"/>
      <c r="F322" s="359" t="s">
        <v>1309</v>
      </c>
      <c r="G322" s="353" t="s">
        <v>1228</v>
      </c>
      <c r="H322" s="17" t="s">
        <v>3704</v>
      </c>
      <c r="I322" s="371">
        <v>2</v>
      </c>
      <c r="J322" s="360"/>
      <c r="K322" s="361"/>
      <c r="L322" s="368" t="s">
        <v>2294</v>
      </c>
    </row>
    <row r="323" spans="1:12">
      <c r="A323" s="353"/>
      <c r="B323" s="375"/>
      <c r="C323" s="17"/>
      <c r="D323" s="17"/>
      <c r="E323" s="370"/>
      <c r="F323" s="359" t="s">
        <v>1309</v>
      </c>
      <c r="G323" s="353" t="s">
        <v>1230</v>
      </c>
      <c r="H323" s="17" t="s">
        <v>1565</v>
      </c>
      <c r="I323" s="371">
        <v>2</v>
      </c>
      <c r="J323" s="360"/>
      <c r="K323" s="361"/>
      <c r="L323" s="368" t="s">
        <v>2295</v>
      </c>
    </row>
    <row r="324" spans="1:12">
      <c r="A324" s="353"/>
      <c r="B324" s="375"/>
      <c r="C324" s="17"/>
      <c r="D324" s="17"/>
      <c r="E324" s="370"/>
      <c r="F324" s="359" t="s">
        <v>1309</v>
      </c>
      <c r="G324" s="353" t="s">
        <v>1210</v>
      </c>
      <c r="H324" s="17" t="s">
        <v>1565</v>
      </c>
      <c r="I324" s="371">
        <v>6</v>
      </c>
      <c r="J324" s="360"/>
      <c r="K324" s="361"/>
      <c r="L324" s="368" t="s">
        <v>2402</v>
      </c>
    </row>
    <row r="325" spans="1:12">
      <c r="A325" s="353"/>
      <c r="B325" s="375"/>
      <c r="C325" s="17"/>
      <c r="D325" s="17"/>
      <c r="E325" s="370"/>
      <c r="F325" s="359" t="s">
        <v>1305</v>
      </c>
      <c r="G325" s="353" t="s">
        <v>1007</v>
      </c>
      <c r="H325" s="17" t="s">
        <v>2622</v>
      </c>
      <c r="I325" s="371">
        <v>1</v>
      </c>
      <c r="J325" s="360"/>
      <c r="K325" s="361"/>
      <c r="L325" s="368" t="s">
        <v>2623</v>
      </c>
    </row>
    <row r="326" spans="1:12">
      <c r="A326" s="353"/>
      <c r="B326" s="375"/>
      <c r="C326" s="17"/>
      <c r="D326" s="17"/>
      <c r="E326" s="370"/>
      <c r="F326" s="359" t="s">
        <v>1317</v>
      </c>
      <c r="G326" s="353" t="s">
        <v>1156</v>
      </c>
      <c r="H326" s="17"/>
      <c r="I326" s="371">
        <v>1</v>
      </c>
      <c r="J326" s="360"/>
      <c r="K326" s="361" t="s">
        <v>4051</v>
      </c>
      <c r="L326" s="368" t="s">
        <v>2624</v>
      </c>
    </row>
    <row r="327" spans="1:12">
      <c r="A327" s="353"/>
      <c r="B327" s="375"/>
      <c r="C327" s="17"/>
      <c r="D327" s="17"/>
      <c r="E327" s="370"/>
      <c r="F327" s="359" t="s">
        <v>1317</v>
      </c>
      <c r="G327" s="353" t="s">
        <v>1711</v>
      </c>
      <c r="H327" s="17" t="s">
        <v>4042</v>
      </c>
      <c r="I327" s="371">
        <v>4</v>
      </c>
      <c r="J327" s="360"/>
      <c r="K327" s="361" t="s">
        <v>4043</v>
      </c>
      <c r="L327" s="368" t="s">
        <v>2625</v>
      </c>
    </row>
    <row r="328" spans="1:12">
      <c r="A328" s="353"/>
      <c r="B328" s="375"/>
      <c r="C328" s="17"/>
      <c r="D328" s="17"/>
      <c r="E328" s="370"/>
      <c r="F328" s="359" t="s">
        <v>1317</v>
      </c>
      <c r="G328" s="353" t="s">
        <v>941</v>
      </c>
      <c r="H328" s="17"/>
      <c r="I328" s="371">
        <v>1</v>
      </c>
      <c r="J328" s="360"/>
      <c r="K328" s="361" t="s">
        <v>4044</v>
      </c>
      <c r="L328" s="368" t="s">
        <v>2626</v>
      </c>
    </row>
    <row r="329" spans="1:12">
      <c r="A329" s="353"/>
      <c r="B329" s="375"/>
      <c r="C329" s="17"/>
      <c r="D329" s="17"/>
      <c r="E329" s="370"/>
      <c r="F329" s="359" t="s">
        <v>1309</v>
      </c>
      <c r="G329" s="353" t="s">
        <v>1235</v>
      </c>
      <c r="H329" s="17" t="s">
        <v>1565</v>
      </c>
      <c r="I329" s="371">
        <v>2</v>
      </c>
      <c r="J329" s="360"/>
      <c r="K329" s="361"/>
      <c r="L329" s="368" t="s">
        <v>3703</v>
      </c>
    </row>
    <row r="330" spans="1:12" ht="29.25">
      <c r="A330" s="102"/>
      <c r="B330" s="375"/>
      <c r="C330" s="17"/>
      <c r="D330" s="364" t="s">
        <v>2628</v>
      </c>
      <c r="E330" s="370" t="s">
        <v>1302</v>
      </c>
      <c r="F330" s="359"/>
      <c r="G330" s="353"/>
      <c r="H330" s="364"/>
      <c r="I330" s="371">
        <v>1</v>
      </c>
      <c r="J330" s="360"/>
      <c r="K330" s="361"/>
      <c r="L330" s="368" t="s">
        <v>2627</v>
      </c>
    </row>
    <row r="331" spans="1:12" ht="15">
      <c r="A331" s="102"/>
      <c r="B331" s="375"/>
      <c r="C331" s="17"/>
      <c r="D331" s="364"/>
      <c r="E331" s="370"/>
      <c r="F331" s="359" t="s">
        <v>1305</v>
      </c>
      <c r="G331" s="353" t="s">
        <v>1007</v>
      </c>
      <c r="H331" s="364"/>
      <c r="I331" s="371">
        <v>1</v>
      </c>
      <c r="J331" s="360"/>
      <c r="K331" s="361"/>
      <c r="L331" s="368" t="s">
        <v>2635</v>
      </c>
    </row>
    <row r="332" spans="1:12" ht="15">
      <c r="A332" s="102"/>
      <c r="B332" s="375"/>
      <c r="C332" s="17"/>
      <c r="D332" s="364"/>
      <c r="E332" s="370"/>
      <c r="F332" s="359" t="s">
        <v>1317</v>
      </c>
      <c r="G332" s="353" t="s">
        <v>1157</v>
      </c>
      <c r="H332" s="364" t="s">
        <v>1339</v>
      </c>
      <c r="I332" s="371">
        <v>1</v>
      </c>
      <c r="J332" s="360"/>
      <c r="K332" s="361"/>
      <c r="L332" s="368" t="s">
        <v>2636</v>
      </c>
    </row>
    <row r="333" spans="1:12" ht="15">
      <c r="A333" s="102"/>
      <c r="B333" s="375"/>
      <c r="C333" s="17"/>
      <c r="D333" s="364"/>
      <c r="E333" s="370"/>
      <c r="F333" s="359" t="s">
        <v>1317</v>
      </c>
      <c r="G333" s="353" t="s">
        <v>1223</v>
      </c>
      <c r="H333" s="364" t="s">
        <v>4046</v>
      </c>
      <c r="I333" s="371">
        <v>1</v>
      </c>
      <c r="J333" s="360"/>
      <c r="K333" s="361"/>
      <c r="L333" s="368" t="s">
        <v>2637</v>
      </c>
    </row>
    <row r="334" spans="1:12" ht="15">
      <c r="A334" s="102"/>
      <c r="B334" s="375"/>
      <c r="C334" s="17"/>
      <c r="D334" s="364"/>
      <c r="E334" s="370"/>
      <c r="F334" s="359" t="s">
        <v>1317</v>
      </c>
      <c r="G334" s="353" t="s">
        <v>941</v>
      </c>
      <c r="H334" s="364" t="s">
        <v>3188</v>
      </c>
      <c r="I334" s="371">
        <v>1</v>
      </c>
      <c r="J334" s="360"/>
      <c r="K334" s="361" t="s">
        <v>4045</v>
      </c>
      <c r="L334" s="368" t="s">
        <v>2641</v>
      </c>
    </row>
    <row r="335" spans="1:12" ht="15">
      <c r="A335" s="102"/>
      <c r="B335" s="375"/>
      <c r="C335" s="17"/>
      <c r="D335" s="364" t="s">
        <v>2629</v>
      </c>
      <c r="E335" s="370" t="s">
        <v>1302</v>
      </c>
      <c r="F335" s="359"/>
      <c r="G335" s="353"/>
      <c r="H335" s="364"/>
      <c r="I335" s="371">
        <v>1</v>
      </c>
      <c r="J335" s="360"/>
      <c r="K335" s="361"/>
      <c r="L335" s="368" t="s">
        <v>2630</v>
      </c>
    </row>
    <row r="336" spans="1:12" ht="15">
      <c r="A336" s="102"/>
      <c r="B336" s="375"/>
      <c r="C336" s="17"/>
      <c r="D336" s="364"/>
      <c r="E336" s="370"/>
      <c r="F336" s="359" t="s">
        <v>1305</v>
      </c>
      <c r="G336" s="353" t="s">
        <v>1007</v>
      </c>
      <c r="H336" s="364"/>
      <c r="I336" s="371">
        <v>1</v>
      </c>
      <c r="J336" s="360"/>
      <c r="K336" s="361"/>
      <c r="L336" s="368" t="s">
        <v>2638</v>
      </c>
    </row>
    <row r="337" spans="1:12" ht="15">
      <c r="A337" s="102"/>
      <c r="B337" s="375"/>
      <c r="C337" s="17"/>
      <c r="D337" s="364"/>
      <c r="E337" s="370"/>
      <c r="F337" s="359" t="s">
        <v>1317</v>
      </c>
      <c r="G337" s="353" t="s">
        <v>1157</v>
      </c>
      <c r="H337" s="364" t="s">
        <v>1339</v>
      </c>
      <c r="I337" s="371">
        <v>1</v>
      </c>
      <c r="J337" s="360"/>
      <c r="K337" s="361"/>
      <c r="L337" s="368" t="s">
        <v>2639</v>
      </c>
    </row>
    <row r="338" spans="1:12" ht="15">
      <c r="A338" s="102"/>
      <c r="B338" s="375"/>
      <c r="C338" s="17"/>
      <c r="D338" s="364"/>
      <c r="E338" s="370"/>
      <c r="F338" s="359" t="s">
        <v>1317</v>
      </c>
      <c r="G338" s="353" t="s">
        <v>1199</v>
      </c>
      <c r="H338" s="364" t="s">
        <v>3189</v>
      </c>
      <c r="I338" s="371">
        <v>1</v>
      </c>
      <c r="J338" s="360"/>
      <c r="K338" s="361"/>
      <c r="L338" s="368" t="s">
        <v>2640</v>
      </c>
    </row>
    <row r="339" spans="1:12" ht="15">
      <c r="A339" s="102"/>
      <c r="B339" s="375"/>
      <c r="C339" s="17"/>
      <c r="D339" s="364"/>
      <c r="E339" s="370"/>
      <c r="F339" s="359" t="s">
        <v>1317</v>
      </c>
      <c r="G339" s="353" t="s">
        <v>1223</v>
      </c>
      <c r="H339" s="364" t="s">
        <v>4046</v>
      </c>
      <c r="I339" s="371">
        <v>1</v>
      </c>
      <c r="J339" s="360"/>
      <c r="K339" s="361"/>
      <c r="L339" s="368" t="s">
        <v>4047</v>
      </c>
    </row>
    <row r="340" spans="1:12" ht="15">
      <c r="A340" s="102"/>
      <c r="B340" s="375"/>
      <c r="C340" s="17"/>
      <c r="D340" s="364" t="s">
        <v>2631</v>
      </c>
      <c r="E340" s="370" t="s">
        <v>1302</v>
      </c>
      <c r="F340" s="359"/>
      <c r="G340" s="353"/>
      <c r="H340" s="364"/>
      <c r="I340" s="371">
        <v>2</v>
      </c>
      <c r="J340" s="360"/>
      <c r="K340" s="361"/>
      <c r="L340" s="368" t="s">
        <v>2632</v>
      </c>
    </row>
    <row r="341" spans="1:12" ht="15">
      <c r="A341" s="102"/>
      <c r="B341" s="375"/>
      <c r="C341" s="17"/>
      <c r="D341" s="364"/>
      <c r="E341" s="370"/>
      <c r="F341" s="359" t="s">
        <v>1305</v>
      </c>
      <c r="G341" s="353" t="s">
        <v>1007</v>
      </c>
      <c r="H341" s="364"/>
      <c r="I341" s="371">
        <v>1</v>
      </c>
      <c r="J341" s="360"/>
      <c r="K341" s="361"/>
      <c r="L341" s="368" t="s">
        <v>2642</v>
      </c>
    </row>
    <row r="342" spans="1:12" ht="15">
      <c r="A342" s="102"/>
      <c r="B342" s="375"/>
      <c r="C342" s="17"/>
      <c r="D342" s="364"/>
      <c r="E342" s="370"/>
      <c r="F342" s="359" t="s">
        <v>1317</v>
      </c>
      <c r="G342" s="353" t="s">
        <v>941</v>
      </c>
      <c r="H342" s="364" t="s">
        <v>3188</v>
      </c>
      <c r="I342" s="371">
        <v>1</v>
      </c>
      <c r="J342" s="360"/>
      <c r="K342" s="361" t="s">
        <v>4049</v>
      </c>
      <c r="L342" s="368" t="s">
        <v>2643</v>
      </c>
    </row>
    <row r="343" spans="1:12" ht="15">
      <c r="A343" s="102"/>
      <c r="B343" s="375"/>
      <c r="C343" s="17"/>
      <c r="D343" s="364" t="s">
        <v>2634</v>
      </c>
      <c r="E343" s="370" t="s">
        <v>1302</v>
      </c>
      <c r="F343" s="359"/>
      <c r="G343" s="353"/>
      <c r="H343" s="364"/>
      <c r="I343" s="371">
        <v>1</v>
      </c>
      <c r="J343" s="360"/>
      <c r="K343" s="361"/>
      <c r="L343" s="368" t="s">
        <v>2633</v>
      </c>
    </row>
    <row r="344" spans="1:12" ht="15">
      <c r="A344" s="102"/>
      <c r="B344" s="375"/>
      <c r="C344" s="17"/>
      <c r="D344" s="364"/>
      <c r="E344" s="370"/>
      <c r="F344" s="359" t="s">
        <v>1305</v>
      </c>
      <c r="G344" s="353" t="s">
        <v>1007</v>
      </c>
      <c r="H344" s="364"/>
      <c r="I344" s="371">
        <v>1</v>
      </c>
      <c r="J344" s="360"/>
      <c r="K344" s="361"/>
      <c r="L344" s="368" t="s">
        <v>2644</v>
      </c>
    </row>
    <row r="345" spans="1:12" ht="15">
      <c r="A345" s="102"/>
      <c r="B345" s="375"/>
      <c r="C345" s="17"/>
      <c r="D345" s="364"/>
      <c r="E345" s="370"/>
      <c r="F345" s="359" t="s">
        <v>1317</v>
      </c>
      <c r="G345" s="353" t="s">
        <v>1157</v>
      </c>
      <c r="H345" s="364" t="s">
        <v>1339</v>
      </c>
      <c r="I345" s="371">
        <v>1</v>
      </c>
      <c r="J345" s="360"/>
      <c r="K345" s="361"/>
      <c r="L345" s="368" t="s">
        <v>2645</v>
      </c>
    </row>
    <row r="346" spans="1:12" ht="15">
      <c r="A346" s="102"/>
      <c r="B346" s="375"/>
      <c r="C346" s="17"/>
      <c r="D346" s="364"/>
      <c r="E346" s="370"/>
      <c r="F346" s="359" t="s">
        <v>1317</v>
      </c>
      <c r="G346" s="353" t="s">
        <v>941</v>
      </c>
      <c r="H346" s="364" t="s">
        <v>3188</v>
      </c>
      <c r="I346" s="371">
        <v>1</v>
      </c>
      <c r="J346" s="360"/>
      <c r="K346" s="361" t="s">
        <v>4049</v>
      </c>
      <c r="L346" s="368" t="s">
        <v>2646</v>
      </c>
    </row>
    <row r="347" spans="1:12" ht="15">
      <c r="A347" s="102"/>
      <c r="B347" s="375"/>
      <c r="C347" s="17"/>
      <c r="D347" s="364"/>
      <c r="E347" s="370"/>
      <c r="F347" s="359" t="s">
        <v>1309</v>
      </c>
      <c r="G347" s="353" t="s">
        <v>1228</v>
      </c>
      <c r="H347" s="364" t="s">
        <v>2647</v>
      </c>
      <c r="I347" s="371">
        <v>2</v>
      </c>
      <c r="J347" s="360"/>
      <c r="K347" s="361"/>
      <c r="L347" s="368" t="s">
        <v>2648</v>
      </c>
    </row>
    <row r="348" spans="1:12" ht="15">
      <c r="A348" s="102"/>
      <c r="B348" s="375"/>
      <c r="C348" s="17"/>
      <c r="D348" s="364"/>
      <c r="E348" s="370"/>
      <c r="F348" s="359" t="s">
        <v>1317</v>
      </c>
      <c r="G348" s="353" t="s">
        <v>1210</v>
      </c>
      <c r="H348" s="364" t="s">
        <v>3190</v>
      </c>
      <c r="I348" s="371">
        <v>1</v>
      </c>
      <c r="J348" s="360"/>
      <c r="K348" s="361"/>
      <c r="L348" s="368" t="s">
        <v>2649</v>
      </c>
    </row>
    <row r="349" spans="1:12" ht="15">
      <c r="A349" s="102"/>
      <c r="B349" s="375"/>
      <c r="C349" s="17"/>
      <c r="D349" s="364"/>
      <c r="E349" s="370"/>
      <c r="F349" s="359" t="s">
        <v>1309</v>
      </c>
      <c r="G349" s="353" t="s">
        <v>1230</v>
      </c>
      <c r="H349" s="364" t="s">
        <v>1565</v>
      </c>
      <c r="I349" s="371">
        <v>2</v>
      </c>
      <c r="J349" s="360"/>
      <c r="K349" s="361"/>
      <c r="L349" s="368" t="s">
        <v>3705</v>
      </c>
    </row>
    <row r="350" spans="1:12" ht="15">
      <c r="A350" s="102"/>
      <c r="B350" s="375"/>
      <c r="C350" s="17"/>
      <c r="D350" s="364"/>
      <c r="E350" s="370"/>
      <c r="F350" s="359" t="s">
        <v>1309</v>
      </c>
      <c r="G350" s="353" t="s">
        <v>1235</v>
      </c>
      <c r="H350" s="364" t="s">
        <v>1565</v>
      </c>
      <c r="I350" s="371">
        <v>2</v>
      </c>
      <c r="J350" s="360"/>
      <c r="K350" s="361"/>
      <c r="L350" s="368" t="s">
        <v>3706</v>
      </c>
    </row>
    <row r="351" spans="1:12" ht="15">
      <c r="A351" s="102"/>
      <c r="B351" s="375"/>
      <c r="C351" s="17"/>
      <c r="D351" s="364" t="s">
        <v>2653</v>
      </c>
      <c r="E351" s="370" t="s">
        <v>1311</v>
      </c>
      <c r="F351" s="359"/>
      <c r="G351" s="353"/>
      <c r="H351" s="364"/>
      <c r="I351" s="371">
        <v>1</v>
      </c>
      <c r="J351" s="360"/>
      <c r="K351" s="361"/>
      <c r="L351" s="368" t="s">
        <v>2654</v>
      </c>
    </row>
    <row r="352" spans="1:12" ht="15">
      <c r="A352" s="102"/>
      <c r="B352" s="375"/>
      <c r="C352" s="17"/>
      <c r="D352" s="364" t="s">
        <v>4050</v>
      </c>
      <c r="E352" s="370" t="s">
        <v>1302</v>
      </c>
      <c r="F352" s="359"/>
      <c r="G352" s="353"/>
      <c r="H352" s="364"/>
      <c r="I352" s="371">
        <v>2</v>
      </c>
      <c r="J352" s="360"/>
      <c r="K352" s="361"/>
      <c r="L352" s="368" t="s">
        <v>2670</v>
      </c>
    </row>
    <row r="353" spans="1:12" ht="15">
      <c r="A353" s="102"/>
      <c r="B353" s="375"/>
      <c r="C353" s="17"/>
      <c r="D353" s="364"/>
      <c r="E353" s="370"/>
      <c r="F353" s="359" t="s">
        <v>1305</v>
      </c>
      <c r="G353" s="353" t="s">
        <v>1007</v>
      </c>
      <c r="H353" s="364" t="s">
        <v>2673</v>
      </c>
      <c r="I353" s="371">
        <v>1</v>
      </c>
      <c r="J353" s="360"/>
      <c r="K353" s="361"/>
      <c r="L353" s="368" t="s">
        <v>2671</v>
      </c>
    </row>
    <row r="354" spans="1:12" ht="15">
      <c r="A354" s="102"/>
      <c r="B354" s="375"/>
      <c r="C354" s="17"/>
      <c r="D354" s="364"/>
      <c r="E354" s="370"/>
      <c r="F354" s="359" t="s">
        <v>1317</v>
      </c>
      <c r="G354" s="353" t="s">
        <v>941</v>
      </c>
      <c r="H354" s="364" t="s">
        <v>3188</v>
      </c>
      <c r="I354" s="371">
        <v>1</v>
      </c>
      <c r="J354" s="360"/>
      <c r="K354" s="361" t="s">
        <v>4049</v>
      </c>
      <c r="L354" s="368" t="s">
        <v>2672</v>
      </c>
    </row>
    <row r="355" spans="1:12" ht="15">
      <c r="A355" s="102"/>
      <c r="B355" s="375"/>
      <c r="C355" s="17"/>
      <c r="D355" s="364"/>
      <c r="E355" s="370"/>
      <c r="F355" s="359" t="s">
        <v>1317</v>
      </c>
      <c r="G355" s="353" t="s">
        <v>1199</v>
      </c>
      <c r="H355" s="364" t="s">
        <v>2675</v>
      </c>
      <c r="I355" s="371">
        <v>1</v>
      </c>
      <c r="J355" s="360"/>
      <c r="K355" s="361"/>
      <c r="L355" s="368" t="s">
        <v>2674</v>
      </c>
    </row>
    <row r="356" spans="1:12" ht="15">
      <c r="A356" s="102"/>
      <c r="B356" s="375"/>
      <c r="C356" s="17"/>
      <c r="D356" s="364"/>
      <c r="E356" s="370"/>
      <c r="F356" s="359" t="s">
        <v>1317</v>
      </c>
      <c r="G356" s="353" t="s">
        <v>1157</v>
      </c>
      <c r="H356" s="364" t="s">
        <v>1339</v>
      </c>
      <c r="I356" s="371">
        <v>1</v>
      </c>
      <c r="J356" s="360"/>
      <c r="K356" s="361"/>
      <c r="L356" s="368" t="s">
        <v>4048</v>
      </c>
    </row>
    <row r="357" spans="1:12" ht="15">
      <c r="A357" s="102"/>
      <c r="B357" s="375"/>
      <c r="C357" s="17"/>
      <c r="D357" s="364" t="s">
        <v>3700</v>
      </c>
      <c r="E357" s="370" t="s">
        <v>1311</v>
      </c>
      <c r="F357" s="359"/>
      <c r="G357" s="353"/>
      <c r="H357" s="364" t="s">
        <v>3971</v>
      </c>
      <c r="I357" s="371">
        <v>1</v>
      </c>
      <c r="J357" s="360"/>
      <c r="K357" s="361"/>
      <c r="L357" s="368" t="s">
        <v>3701</v>
      </c>
    </row>
    <row r="358" spans="1:12" ht="15">
      <c r="A358" s="102"/>
      <c r="B358" s="375"/>
      <c r="C358" s="17"/>
      <c r="D358" s="364" t="s">
        <v>3972</v>
      </c>
      <c r="E358" s="370" t="s">
        <v>1302</v>
      </c>
      <c r="F358" s="359"/>
      <c r="G358" s="353"/>
      <c r="H358" s="364"/>
      <c r="I358" s="371">
        <v>1</v>
      </c>
      <c r="J358" s="360"/>
      <c r="K358" s="361"/>
      <c r="L358" s="368" t="s">
        <v>3973</v>
      </c>
    </row>
    <row r="359" spans="1:12" ht="15">
      <c r="A359" s="102"/>
      <c r="B359" s="375"/>
      <c r="C359" s="17"/>
      <c r="D359" s="364"/>
      <c r="E359" s="370"/>
      <c r="F359" s="359" t="s">
        <v>1309</v>
      </c>
      <c r="G359" s="353" t="s">
        <v>1228</v>
      </c>
      <c r="H359" s="364" t="s">
        <v>2506</v>
      </c>
      <c r="I359" s="371">
        <v>2</v>
      </c>
      <c r="J359" s="360"/>
      <c r="K359" s="361"/>
      <c r="L359" s="368" t="s">
        <v>3974</v>
      </c>
    </row>
    <row r="360" spans="1:12" ht="15">
      <c r="A360" s="102"/>
      <c r="B360" s="375"/>
      <c r="C360" s="17"/>
      <c r="D360" s="364"/>
      <c r="E360" s="370"/>
      <c r="F360" s="359" t="s">
        <v>1317</v>
      </c>
      <c r="G360" s="353" t="s">
        <v>1199</v>
      </c>
      <c r="H360" s="364" t="s">
        <v>3211</v>
      </c>
      <c r="I360" s="371">
        <v>2</v>
      </c>
      <c r="J360" s="360"/>
      <c r="K360" s="361"/>
      <c r="L360" s="368" t="s">
        <v>3975</v>
      </c>
    </row>
    <row r="361" spans="1:12" ht="15">
      <c r="A361" s="102"/>
      <c r="B361" s="375"/>
      <c r="C361" s="17"/>
      <c r="D361" s="364"/>
      <c r="E361" s="370"/>
      <c r="F361" s="359" t="s">
        <v>1309</v>
      </c>
      <c r="G361" s="353" t="s">
        <v>1235</v>
      </c>
      <c r="H361" s="364" t="s">
        <v>2034</v>
      </c>
      <c r="I361" s="371">
        <v>2</v>
      </c>
      <c r="J361" s="360"/>
      <c r="K361" s="361"/>
      <c r="L361" s="368" t="s">
        <v>3976</v>
      </c>
    </row>
    <row r="362" spans="1:12" ht="15">
      <c r="A362" s="102"/>
      <c r="B362" s="375"/>
      <c r="C362" s="17"/>
      <c r="D362" s="364"/>
      <c r="E362" s="370"/>
      <c r="F362" s="359" t="s">
        <v>1309</v>
      </c>
      <c r="G362" s="353" t="s">
        <v>1230</v>
      </c>
      <c r="H362" s="364" t="s">
        <v>2034</v>
      </c>
      <c r="I362" s="371">
        <v>2</v>
      </c>
      <c r="J362" s="360"/>
      <c r="K362" s="361"/>
      <c r="L362" s="368" t="s">
        <v>3977</v>
      </c>
    </row>
    <row r="363" spans="1:12" ht="15">
      <c r="A363" s="102"/>
      <c r="B363" s="105"/>
      <c r="C363" s="105"/>
      <c r="D363" s="321"/>
      <c r="E363" s="396"/>
      <c r="F363" s="105"/>
      <c r="G363" s="321"/>
      <c r="H363" s="104"/>
      <c r="I363" s="417"/>
      <c r="J363" s="108"/>
      <c r="K363" s="106"/>
      <c r="L363" s="321"/>
    </row>
    <row r="364" spans="1:12">
      <c r="A364" s="353"/>
      <c r="B364" s="375" t="s">
        <v>12</v>
      </c>
      <c r="C364" s="376" t="s">
        <v>69</v>
      </c>
      <c r="D364" s="376"/>
      <c r="E364" s="400"/>
      <c r="F364" s="377"/>
      <c r="G364" s="375"/>
      <c r="H364" s="376"/>
      <c r="I364" s="419">
        <v>1</v>
      </c>
      <c r="J364" s="378"/>
      <c r="K364" s="379"/>
      <c r="L364" s="446" t="s">
        <v>1859</v>
      </c>
    </row>
    <row r="365" spans="1:12">
      <c r="A365" s="353"/>
      <c r="B365" s="375"/>
      <c r="C365" s="17"/>
      <c r="D365" s="17" t="s">
        <v>1858</v>
      </c>
      <c r="E365" s="370" t="s">
        <v>1311</v>
      </c>
      <c r="F365" s="359"/>
      <c r="G365" s="353"/>
      <c r="H365" s="17" t="s">
        <v>3979</v>
      </c>
      <c r="I365" s="371">
        <v>1</v>
      </c>
      <c r="J365" s="360"/>
      <c r="K365" s="361"/>
      <c r="L365" s="368" t="s">
        <v>1860</v>
      </c>
    </row>
    <row r="366" spans="1:12" ht="15">
      <c r="A366" s="102"/>
      <c r="B366" s="375"/>
      <c r="C366" s="17"/>
      <c r="D366" s="364" t="s">
        <v>3981</v>
      </c>
      <c r="E366" s="370" t="s">
        <v>1302</v>
      </c>
      <c r="F366" s="359"/>
      <c r="G366" s="353"/>
      <c r="H366" s="17"/>
      <c r="I366" s="371">
        <v>1</v>
      </c>
      <c r="J366" s="360"/>
      <c r="K366" s="361"/>
      <c r="L366" s="368" t="s">
        <v>2655</v>
      </c>
    </row>
    <row r="367" spans="1:12" ht="15">
      <c r="A367" s="102"/>
      <c r="B367" s="375"/>
      <c r="C367" s="17"/>
      <c r="D367" s="17"/>
      <c r="E367" s="370"/>
      <c r="F367" s="359" t="s">
        <v>1317</v>
      </c>
      <c r="G367" s="353" t="s">
        <v>1199</v>
      </c>
      <c r="H367" s="17" t="s">
        <v>3191</v>
      </c>
      <c r="I367" s="371">
        <v>1</v>
      </c>
      <c r="J367" s="360"/>
      <c r="K367" s="361"/>
      <c r="L367" s="368" t="s">
        <v>2656</v>
      </c>
    </row>
    <row r="368" spans="1:12" ht="15">
      <c r="A368" s="102"/>
      <c r="B368" s="375"/>
      <c r="C368" s="17"/>
      <c r="D368" s="17"/>
      <c r="E368" s="370"/>
      <c r="F368" s="359" t="s">
        <v>1309</v>
      </c>
      <c r="G368" s="353" t="s">
        <v>1228</v>
      </c>
      <c r="H368" s="17" t="s">
        <v>1875</v>
      </c>
      <c r="I368" s="371">
        <v>4</v>
      </c>
      <c r="J368" s="360"/>
      <c r="K368" s="361"/>
      <c r="L368" s="368" t="s">
        <v>2658</v>
      </c>
    </row>
    <row r="369" spans="1:12" ht="15">
      <c r="A369" s="102"/>
      <c r="B369" s="375"/>
      <c r="C369" s="17"/>
      <c r="D369" s="17"/>
      <c r="E369" s="370"/>
      <c r="F369" s="359" t="s">
        <v>1309</v>
      </c>
      <c r="G369" s="353" t="s">
        <v>1230</v>
      </c>
      <c r="H369" s="17" t="s">
        <v>2034</v>
      </c>
      <c r="I369" s="371">
        <v>4</v>
      </c>
      <c r="J369" s="360"/>
      <c r="K369" s="361"/>
      <c r="L369" s="368" t="s">
        <v>2660</v>
      </c>
    </row>
    <row r="370" spans="1:12" ht="15">
      <c r="A370" s="102"/>
      <c r="B370" s="375"/>
      <c r="C370" s="17"/>
      <c r="D370" s="17"/>
      <c r="E370" s="370"/>
      <c r="F370" s="359" t="s">
        <v>1309</v>
      </c>
      <c r="G370" s="353" t="s">
        <v>1235</v>
      </c>
      <c r="H370" s="17" t="s">
        <v>2034</v>
      </c>
      <c r="I370" s="371">
        <v>4</v>
      </c>
      <c r="J370" s="360"/>
      <c r="K370" s="361"/>
      <c r="L370" s="368" t="s">
        <v>2661</v>
      </c>
    </row>
    <row r="371" spans="1:12" ht="15">
      <c r="A371" s="102"/>
      <c r="B371" s="375"/>
      <c r="C371" s="17"/>
      <c r="D371" s="17"/>
      <c r="E371" s="370"/>
      <c r="F371" s="359" t="s">
        <v>1317</v>
      </c>
      <c r="G371" s="353" t="s">
        <v>1210</v>
      </c>
      <c r="H371" s="17"/>
      <c r="I371" s="371">
        <v>4</v>
      </c>
      <c r="J371" s="360"/>
      <c r="K371" s="361"/>
      <c r="L371" s="368" t="s">
        <v>2662</v>
      </c>
    </row>
    <row r="372" spans="1:12" ht="15">
      <c r="A372" s="102"/>
      <c r="B372" s="375"/>
      <c r="C372" s="17"/>
      <c r="D372" s="17" t="s">
        <v>1861</v>
      </c>
      <c r="E372" s="370" t="s">
        <v>1311</v>
      </c>
      <c r="F372" s="359"/>
      <c r="G372" s="353"/>
      <c r="H372" s="17"/>
      <c r="I372" s="371">
        <v>1</v>
      </c>
      <c r="J372" s="360"/>
      <c r="K372" s="361"/>
      <c r="L372" s="368" t="s">
        <v>3980</v>
      </c>
    </row>
    <row r="373" spans="1:12" ht="15">
      <c r="A373" s="102"/>
      <c r="B373" s="375"/>
      <c r="C373" s="17"/>
      <c r="D373" s="17" t="s">
        <v>3983</v>
      </c>
      <c r="E373" s="370" t="s">
        <v>1302</v>
      </c>
      <c r="F373" s="359"/>
      <c r="G373" s="353"/>
      <c r="H373" s="17"/>
      <c r="I373" s="371">
        <v>1</v>
      </c>
      <c r="J373" s="360"/>
      <c r="K373" s="361"/>
      <c r="L373" s="368" t="s">
        <v>3982</v>
      </c>
    </row>
    <row r="374" spans="1:12" ht="15">
      <c r="A374" s="102"/>
      <c r="B374" s="375"/>
      <c r="C374" s="17"/>
      <c r="D374" s="17"/>
      <c r="E374" s="370"/>
      <c r="F374" s="359" t="s">
        <v>1317</v>
      </c>
      <c r="G374" s="353" t="s">
        <v>1199</v>
      </c>
      <c r="H374" s="17" t="s">
        <v>3192</v>
      </c>
      <c r="I374" s="371">
        <v>1</v>
      </c>
      <c r="J374" s="360"/>
      <c r="K374" s="361"/>
      <c r="L374" s="368" t="s">
        <v>3984</v>
      </c>
    </row>
    <row r="375" spans="1:12" ht="15">
      <c r="A375" s="102"/>
      <c r="B375" s="105"/>
      <c r="C375" s="105"/>
      <c r="D375" s="321"/>
      <c r="E375" s="396"/>
      <c r="F375" s="105"/>
      <c r="G375" s="321"/>
      <c r="H375" s="104"/>
      <c r="I375" s="417"/>
      <c r="J375" s="108"/>
      <c r="K375" s="106"/>
      <c r="L375" s="321"/>
    </row>
    <row r="376" spans="1:12">
      <c r="A376" s="353"/>
      <c r="B376" s="375" t="s">
        <v>12</v>
      </c>
      <c r="C376" s="376" t="s">
        <v>65</v>
      </c>
      <c r="D376" s="376"/>
      <c r="E376" s="400"/>
      <c r="F376" s="377"/>
      <c r="G376" s="375"/>
      <c r="H376" s="376"/>
      <c r="I376" s="419">
        <v>1</v>
      </c>
      <c r="J376" s="378"/>
      <c r="K376" s="379"/>
      <c r="L376" s="446" t="s">
        <v>1883</v>
      </c>
    </row>
    <row r="377" spans="1:12" ht="28.5">
      <c r="A377" s="353"/>
      <c r="B377" s="375"/>
      <c r="C377" s="17"/>
      <c r="D377" s="364" t="s">
        <v>4002</v>
      </c>
      <c r="E377" s="370" t="s">
        <v>1302</v>
      </c>
      <c r="F377" s="359"/>
      <c r="G377" s="353"/>
      <c r="H377" s="17"/>
      <c r="I377" s="371">
        <v>1</v>
      </c>
      <c r="J377" s="360"/>
      <c r="K377" s="361"/>
      <c r="L377" s="368" t="s">
        <v>1884</v>
      </c>
    </row>
    <row r="378" spans="1:12">
      <c r="A378" s="353"/>
      <c r="B378" s="375"/>
      <c r="C378" s="17"/>
      <c r="D378" s="17"/>
      <c r="E378" s="370"/>
      <c r="F378" s="359" t="s">
        <v>1305</v>
      </c>
      <c r="G378" s="353" t="s">
        <v>1008</v>
      </c>
      <c r="H378" s="17" t="s">
        <v>1885</v>
      </c>
      <c r="I378" s="371">
        <v>1</v>
      </c>
      <c r="J378" s="360"/>
      <c r="K378" s="361"/>
      <c r="L378" s="368" t="s">
        <v>1886</v>
      </c>
    </row>
    <row r="379" spans="1:12">
      <c r="A379" s="353"/>
      <c r="B379" s="375"/>
      <c r="C379" s="17"/>
      <c r="D379" s="17"/>
      <c r="E379" s="370"/>
      <c r="F379" s="359" t="s">
        <v>1317</v>
      </c>
      <c r="G379" s="353" t="s">
        <v>3996</v>
      </c>
      <c r="H379" s="17"/>
      <c r="I379" s="371">
        <v>1</v>
      </c>
      <c r="J379" s="360"/>
      <c r="K379" s="361"/>
      <c r="L379" s="368" t="s">
        <v>1887</v>
      </c>
    </row>
    <row r="380" spans="1:12">
      <c r="A380" s="353"/>
      <c r="B380" s="375"/>
      <c r="C380" s="17"/>
      <c r="D380" s="17"/>
      <c r="E380" s="370"/>
      <c r="F380" s="359" t="s">
        <v>1317</v>
      </c>
      <c r="G380" s="353" t="s">
        <v>1199</v>
      </c>
      <c r="H380" s="17" t="s">
        <v>3194</v>
      </c>
      <c r="I380" s="371">
        <v>1</v>
      </c>
      <c r="J380" s="360"/>
      <c r="K380" s="361"/>
      <c r="L380" s="368" t="s">
        <v>2522</v>
      </c>
    </row>
    <row r="381" spans="1:12">
      <c r="A381" s="353"/>
      <c r="B381" s="375"/>
      <c r="C381" s="17"/>
      <c r="D381" s="17"/>
      <c r="E381" s="370"/>
      <c r="F381" s="359" t="s">
        <v>1309</v>
      </c>
      <c r="G381" s="353" t="s">
        <v>1228</v>
      </c>
      <c r="H381" s="17" t="s">
        <v>2523</v>
      </c>
      <c r="I381" s="371">
        <v>8</v>
      </c>
      <c r="J381" s="360"/>
      <c r="K381" s="361"/>
      <c r="L381" s="368" t="s">
        <v>2524</v>
      </c>
    </row>
    <row r="382" spans="1:12">
      <c r="A382" s="353"/>
      <c r="B382" s="375"/>
      <c r="C382" s="17"/>
      <c r="D382" s="17"/>
      <c r="E382" s="370"/>
      <c r="F382" s="359" t="s">
        <v>1309</v>
      </c>
      <c r="G382" s="353" t="s">
        <v>1235</v>
      </c>
      <c r="H382" s="17" t="s">
        <v>2034</v>
      </c>
      <c r="I382" s="371">
        <v>16</v>
      </c>
      <c r="J382" s="360"/>
      <c r="K382" s="361"/>
      <c r="L382" s="368" t="s">
        <v>2525</v>
      </c>
    </row>
    <row r="383" spans="1:12">
      <c r="A383" s="353"/>
      <c r="B383" s="375"/>
      <c r="C383" s="17"/>
      <c r="D383" s="17"/>
      <c r="E383" s="370"/>
      <c r="F383" s="359" t="s">
        <v>1309</v>
      </c>
      <c r="G383" s="353" t="s">
        <v>1230</v>
      </c>
      <c r="H383" s="17" t="s">
        <v>2034</v>
      </c>
      <c r="I383" s="371">
        <v>8</v>
      </c>
      <c r="J383" s="360"/>
      <c r="K383" s="361"/>
      <c r="L383" s="368" t="s">
        <v>2526</v>
      </c>
    </row>
    <row r="384" spans="1:12">
      <c r="A384" s="353"/>
      <c r="B384" s="375"/>
      <c r="C384" s="17"/>
      <c r="D384" s="17"/>
      <c r="E384" s="370"/>
      <c r="F384" s="359" t="s">
        <v>1317</v>
      </c>
      <c r="G384" s="353" t="s">
        <v>1210</v>
      </c>
      <c r="H384" s="17"/>
      <c r="I384" s="371">
        <v>32</v>
      </c>
      <c r="J384" s="360"/>
      <c r="K384" s="361"/>
      <c r="L384" s="368" t="s">
        <v>2531</v>
      </c>
    </row>
    <row r="385" spans="1:12">
      <c r="A385" s="353"/>
      <c r="B385" s="375"/>
      <c r="C385" s="17"/>
      <c r="D385" s="17"/>
      <c r="E385" s="370"/>
      <c r="F385" s="359" t="s">
        <v>1317</v>
      </c>
      <c r="G385" s="353" t="s">
        <v>2913</v>
      </c>
      <c r="H385" s="17" t="s">
        <v>2914</v>
      </c>
      <c r="I385" s="371">
        <v>1</v>
      </c>
      <c r="J385" s="360"/>
      <c r="K385" s="361"/>
      <c r="L385" s="368" t="s">
        <v>2915</v>
      </c>
    </row>
    <row r="386" spans="1:12">
      <c r="A386" s="353"/>
      <c r="B386" s="375"/>
      <c r="C386" s="17"/>
      <c r="D386" s="17"/>
      <c r="E386" s="370"/>
      <c r="F386" s="359" t="s">
        <v>1317</v>
      </c>
      <c r="G386" s="353" t="s">
        <v>1199</v>
      </c>
      <c r="H386" s="17" t="s">
        <v>3384</v>
      </c>
      <c r="I386" s="371">
        <v>1</v>
      </c>
      <c r="J386" s="360"/>
      <c r="K386" s="361"/>
      <c r="L386" s="368" t="s">
        <v>3383</v>
      </c>
    </row>
    <row r="387" spans="1:12" ht="15">
      <c r="A387" s="102"/>
      <c r="B387" s="375"/>
      <c r="C387" s="17"/>
      <c r="D387" s="364" t="s">
        <v>3391</v>
      </c>
      <c r="E387" s="370" t="s">
        <v>1302</v>
      </c>
      <c r="F387" s="359"/>
      <c r="G387" s="353"/>
      <c r="H387" s="17"/>
      <c r="I387" s="371">
        <v>1</v>
      </c>
      <c r="J387" s="360"/>
      <c r="K387" s="361"/>
      <c r="L387" s="368" t="s">
        <v>3378</v>
      </c>
    </row>
    <row r="388" spans="1:12" ht="15">
      <c r="A388" s="102"/>
      <c r="B388" s="375"/>
      <c r="C388" s="17"/>
      <c r="D388" s="364"/>
      <c r="E388" s="370"/>
      <c r="F388" s="359" t="s">
        <v>1305</v>
      </c>
      <c r="G388" s="353" t="s">
        <v>1008</v>
      </c>
      <c r="H388" s="17" t="s">
        <v>1885</v>
      </c>
      <c r="I388" s="371">
        <v>1</v>
      </c>
      <c r="J388" s="360"/>
      <c r="K388" s="361"/>
      <c r="L388" s="368" t="s">
        <v>3379</v>
      </c>
    </row>
    <row r="389" spans="1:12" ht="15">
      <c r="A389" s="102"/>
      <c r="B389" s="375"/>
      <c r="C389" s="17"/>
      <c r="D389" s="364"/>
      <c r="E389" s="370"/>
      <c r="F389" s="359" t="s">
        <v>1317</v>
      </c>
      <c r="G389" s="353" t="s">
        <v>3996</v>
      </c>
      <c r="H389" s="17"/>
      <c r="I389" s="371">
        <v>1</v>
      </c>
      <c r="J389" s="360"/>
      <c r="K389" s="361"/>
      <c r="L389" s="368" t="s">
        <v>3380</v>
      </c>
    </row>
    <row r="390" spans="1:12" ht="15">
      <c r="A390" s="102"/>
      <c r="B390" s="375"/>
      <c r="C390" s="17"/>
      <c r="D390" s="364"/>
      <c r="E390" s="370"/>
      <c r="F390" s="359" t="s">
        <v>1317</v>
      </c>
      <c r="G390" s="353" t="s">
        <v>1199</v>
      </c>
      <c r="H390" s="17" t="s">
        <v>3382</v>
      </c>
      <c r="I390" s="371">
        <v>1</v>
      </c>
      <c r="J390" s="360"/>
      <c r="K390" s="361"/>
      <c r="L390" s="368" t="s">
        <v>3381</v>
      </c>
    </row>
    <row r="391" spans="1:12" ht="15">
      <c r="A391" s="102"/>
      <c r="B391" s="375"/>
      <c r="C391" s="17"/>
      <c r="D391" s="364"/>
      <c r="E391" s="370"/>
      <c r="F391" s="359" t="s">
        <v>1309</v>
      </c>
      <c r="G391" s="353" t="s">
        <v>1228</v>
      </c>
      <c r="H391" s="17" t="s">
        <v>3386</v>
      </c>
      <c r="I391" s="371">
        <v>8</v>
      </c>
      <c r="J391" s="360"/>
      <c r="K391" s="361"/>
      <c r="L391" s="368" t="s">
        <v>3385</v>
      </c>
    </row>
    <row r="392" spans="1:12" ht="15">
      <c r="A392" s="102"/>
      <c r="B392" s="375"/>
      <c r="C392" s="17"/>
      <c r="D392" s="364"/>
      <c r="E392" s="370"/>
      <c r="F392" s="359" t="s">
        <v>1309</v>
      </c>
      <c r="G392" s="353" t="s">
        <v>1235</v>
      </c>
      <c r="H392" s="17" t="s">
        <v>3388</v>
      </c>
      <c r="I392" s="371">
        <v>16</v>
      </c>
      <c r="J392" s="360"/>
      <c r="K392" s="361"/>
      <c r="L392" s="368" t="s">
        <v>3387</v>
      </c>
    </row>
    <row r="393" spans="1:12" ht="15">
      <c r="A393" s="102"/>
      <c r="B393" s="375"/>
      <c r="C393" s="17"/>
      <c r="D393" s="364"/>
      <c r="E393" s="370"/>
      <c r="F393" s="359" t="s">
        <v>1309</v>
      </c>
      <c r="G393" s="353" t="s">
        <v>1230</v>
      </c>
      <c r="H393" s="17" t="s">
        <v>3388</v>
      </c>
      <c r="I393" s="371">
        <v>8</v>
      </c>
      <c r="J393" s="360"/>
      <c r="K393" s="361"/>
      <c r="L393" s="368" t="s">
        <v>3389</v>
      </c>
    </row>
    <row r="394" spans="1:12" ht="15">
      <c r="A394" s="102"/>
      <c r="B394" s="375"/>
      <c r="C394" s="17"/>
      <c r="D394" s="364"/>
      <c r="E394" s="370"/>
      <c r="F394" s="359" t="s">
        <v>1317</v>
      </c>
      <c r="G394" s="353" t="s">
        <v>1210</v>
      </c>
      <c r="H394" s="17"/>
      <c r="I394" s="371">
        <v>32</v>
      </c>
      <c r="J394" s="360"/>
      <c r="K394" s="361"/>
      <c r="L394" s="368" t="s">
        <v>3390</v>
      </c>
    </row>
    <row r="395" spans="1:12" ht="29.25">
      <c r="A395" s="102"/>
      <c r="B395" s="375"/>
      <c r="C395" s="17"/>
      <c r="D395" s="364" t="s">
        <v>4002</v>
      </c>
      <c r="E395" s="370" t="s">
        <v>1302</v>
      </c>
      <c r="F395" s="359"/>
      <c r="G395" s="353"/>
      <c r="H395" s="17"/>
      <c r="I395" s="371">
        <v>1</v>
      </c>
      <c r="J395" s="360"/>
      <c r="K395" s="361"/>
      <c r="L395" s="368" t="s">
        <v>4003</v>
      </c>
    </row>
    <row r="396" spans="1:12" ht="15">
      <c r="A396" s="102"/>
      <c r="B396" s="375"/>
      <c r="C396" s="17"/>
      <c r="D396" s="364"/>
      <c r="E396" s="370"/>
      <c r="F396" s="359" t="s">
        <v>1305</v>
      </c>
      <c r="G396" s="353" t="s">
        <v>1007</v>
      </c>
      <c r="H396" s="17" t="s">
        <v>4011</v>
      </c>
      <c r="I396" s="371">
        <v>1</v>
      </c>
      <c r="J396" s="360"/>
      <c r="K396" s="361"/>
      <c r="L396" s="368" t="s">
        <v>4004</v>
      </c>
    </row>
    <row r="397" spans="1:12" ht="15">
      <c r="A397" s="102"/>
      <c r="B397" s="375"/>
      <c r="C397" s="17"/>
      <c r="D397" s="364"/>
      <c r="E397" s="370"/>
      <c r="F397" s="359" t="s">
        <v>1317</v>
      </c>
      <c r="G397" s="353" t="s">
        <v>1156</v>
      </c>
      <c r="H397" s="17" t="s">
        <v>4006</v>
      </c>
      <c r="I397" s="371">
        <v>1</v>
      </c>
      <c r="J397" s="360"/>
      <c r="K397" s="361"/>
      <c r="L397" s="368" t="s">
        <v>4005</v>
      </c>
    </row>
    <row r="398" spans="1:12" ht="15">
      <c r="A398" s="102"/>
      <c r="B398" s="375"/>
      <c r="C398" s="17"/>
      <c r="D398" s="364"/>
      <c r="E398" s="370"/>
      <c r="F398" s="359" t="s">
        <v>1317</v>
      </c>
      <c r="G398" s="353" t="s">
        <v>941</v>
      </c>
      <c r="H398" s="17" t="s">
        <v>4014</v>
      </c>
      <c r="I398" s="371">
        <v>1</v>
      </c>
      <c r="J398" s="360"/>
      <c r="K398" s="361"/>
      <c r="L398" s="368" t="s">
        <v>4007</v>
      </c>
    </row>
    <row r="399" spans="1:12" ht="15">
      <c r="A399" s="102"/>
      <c r="B399" s="375"/>
      <c r="C399" s="17"/>
      <c r="D399" s="364"/>
      <c r="E399" s="370"/>
      <c r="F399" s="359" t="s">
        <v>1317</v>
      </c>
      <c r="G399" s="353" t="s">
        <v>4009</v>
      </c>
      <c r="H399" s="17" t="s">
        <v>4010</v>
      </c>
      <c r="I399" s="371">
        <v>4</v>
      </c>
      <c r="J399" s="360"/>
      <c r="K399" s="361"/>
      <c r="L399" s="368" t="s">
        <v>4008</v>
      </c>
    </row>
    <row r="400" spans="1:12" ht="15">
      <c r="A400" s="102"/>
      <c r="B400" s="375"/>
      <c r="C400" s="17"/>
      <c r="D400" s="364"/>
      <c r="E400" s="370"/>
      <c r="F400" s="359" t="s">
        <v>1305</v>
      </c>
      <c r="G400" s="353" t="s">
        <v>1007</v>
      </c>
      <c r="H400" s="17" t="s">
        <v>4012</v>
      </c>
      <c r="I400" s="371">
        <v>1</v>
      </c>
      <c r="J400" s="360"/>
      <c r="K400" s="361"/>
      <c r="L400" s="368" t="s">
        <v>4013</v>
      </c>
    </row>
    <row r="401" spans="1:12" ht="15">
      <c r="A401" s="102"/>
      <c r="B401" s="375"/>
      <c r="C401" s="17"/>
      <c r="D401" s="364" t="s">
        <v>4018</v>
      </c>
      <c r="E401" s="370" t="s">
        <v>1302</v>
      </c>
      <c r="F401" s="359"/>
      <c r="G401" s="353"/>
      <c r="H401" s="17"/>
      <c r="I401" s="371">
        <v>1</v>
      </c>
      <c r="J401" s="360"/>
      <c r="K401" s="361"/>
      <c r="L401" s="368" t="s">
        <v>4015</v>
      </c>
    </row>
    <row r="402" spans="1:12" ht="15">
      <c r="A402" s="102"/>
      <c r="B402" s="375"/>
      <c r="C402" s="17"/>
      <c r="D402" s="364"/>
      <c r="E402" s="370"/>
      <c r="F402" s="359" t="s">
        <v>1317</v>
      </c>
      <c r="G402" s="353" t="s">
        <v>4016</v>
      </c>
      <c r="H402" s="17" t="s">
        <v>4019</v>
      </c>
      <c r="I402" s="371">
        <v>4</v>
      </c>
      <c r="J402" s="360"/>
      <c r="K402" s="361"/>
      <c r="L402" s="368" t="s">
        <v>4017</v>
      </c>
    </row>
    <row r="403" spans="1:12" ht="15">
      <c r="A403" s="102"/>
      <c r="B403" s="105"/>
      <c r="C403" s="105"/>
      <c r="D403" s="321"/>
      <c r="E403" s="396"/>
      <c r="F403" s="105"/>
      <c r="G403" s="321"/>
      <c r="H403" s="104"/>
      <c r="I403" s="417"/>
      <c r="J403" s="108"/>
      <c r="K403" s="106"/>
      <c r="L403" s="321"/>
    </row>
    <row r="404" spans="1:12">
      <c r="A404" s="353"/>
      <c r="B404" s="375" t="s">
        <v>12</v>
      </c>
      <c r="C404" s="376" t="s">
        <v>70</v>
      </c>
      <c r="D404" s="376"/>
      <c r="E404" s="400"/>
      <c r="F404" s="377"/>
      <c r="G404" s="375"/>
      <c r="H404" s="376"/>
      <c r="I404" s="419">
        <v>1</v>
      </c>
      <c r="J404" s="378"/>
      <c r="K404" s="379"/>
      <c r="L404" s="446" t="s">
        <v>1888</v>
      </c>
    </row>
    <row r="405" spans="1:12">
      <c r="A405" s="353"/>
      <c r="B405" s="375"/>
      <c r="C405" s="17"/>
      <c r="D405" s="17" t="s">
        <v>70</v>
      </c>
      <c r="E405" s="370" t="s">
        <v>1302</v>
      </c>
      <c r="F405" s="359"/>
      <c r="G405" s="353"/>
      <c r="H405" s="17"/>
      <c r="I405" s="371">
        <v>1</v>
      </c>
      <c r="J405" s="360"/>
      <c r="K405" s="361"/>
      <c r="L405" s="368" t="s">
        <v>1889</v>
      </c>
    </row>
    <row r="406" spans="1:12">
      <c r="A406" s="353"/>
      <c r="B406" s="375"/>
      <c r="C406" s="17"/>
      <c r="D406" s="17"/>
      <c r="E406" s="370"/>
      <c r="F406" s="359" t="s">
        <v>1305</v>
      </c>
      <c r="G406" s="353" t="s">
        <v>1008</v>
      </c>
      <c r="H406" s="17" t="s">
        <v>1885</v>
      </c>
      <c r="I406" s="371">
        <v>1</v>
      </c>
      <c r="J406" s="360"/>
      <c r="K406" s="361"/>
      <c r="L406" s="368" t="s">
        <v>1890</v>
      </c>
    </row>
    <row r="407" spans="1:12">
      <c r="A407" s="353"/>
      <c r="B407" s="375"/>
      <c r="C407" s="17"/>
      <c r="D407" s="17"/>
      <c r="E407" s="370"/>
      <c r="F407" s="359" t="s">
        <v>1317</v>
      </c>
      <c r="G407" s="353" t="s">
        <v>3996</v>
      </c>
      <c r="H407" s="17"/>
      <c r="I407" s="371">
        <v>1</v>
      </c>
      <c r="J407" s="360"/>
      <c r="K407" s="361"/>
      <c r="L407" s="368" t="s">
        <v>1891</v>
      </c>
    </row>
    <row r="408" spans="1:12">
      <c r="A408" s="353"/>
      <c r="B408" s="375"/>
      <c r="C408" s="17"/>
      <c r="D408" s="17"/>
      <c r="E408" s="370"/>
      <c r="F408" s="359" t="s">
        <v>1317</v>
      </c>
      <c r="G408" s="353" t="s">
        <v>1199</v>
      </c>
      <c r="H408" s="17" t="s">
        <v>3193</v>
      </c>
      <c r="I408" s="371">
        <v>1</v>
      </c>
      <c r="J408" s="360"/>
      <c r="K408" s="361"/>
      <c r="L408" s="368" t="s">
        <v>2520</v>
      </c>
    </row>
    <row r="409" spans="1:12">
      <c r="A409" s="353"/>
      <c r="B409" s="375"/>
      <c r="C409" s="17"/>
      <c r="D409" s="17"/>
      <c r="E409" s="370"/>
      <c r="F409" s="359" t="s">
        <v>1317</v>
      </c>
      <c r="G409" s="353" t="s">
        <v>1199</v>
      </c>
      <c r="H409" s="17" t="s">
        <v>3174</v>
      </c>
      <c r="I409" s="371">
        <v>1</v>
      </c>
      <c r="J409" s="360"/>
      <c r="K409" s="361"/>
      <c r="L409" s="368" t="s">
        <v>2521</v>
      </c>
    </row>
    <row r="410" spans="1:12">
      <c r="A410" s="353"/>
      <c r="B410" s="375"/>
      <c r="C410" s="17"/>
      <c r="D410" s="17"/>
      <c r="E410" s="370"/>
      <c r="F410" s="359" t="s">
        <v>1309</v>
      </c>
      <c r="G410" s="353" t="s">
        <v>1228</v>
      </c>
      <c r="H410" s="17" t="s">
        <v>2506</v>
      </c>
      <c r="I410" s="371">
        <v>6</v>
      </c>
      <c r="J410" s="360"/>
      <c r="K410" s="361"/>
      <c r="L410" s="368" t="s">
        <v>2527</v>
      </c>
    </row>
    <row r="411" spans="1:12">
      <c r="A411" s="353"/>
      <c r="B411" s="375"/>
      <c r="C411" s="17"/>
      <c r="D411" s="17"/>
      <c r="E411" s="370"/>
      <c r="F411" s="359" t="s">
        <v>1309</v>
      </c>
      <c r="G411" s="353" t="s">
        <v>1235</v>
      </c>
      <c r="H411" s="17" t="s">
        <v>2034</v>
      </c>
      <c r="I411" s="371">
        <v>8</v>
      </c>
      <c r="J411" s="360"/>
      <c r="K411" s="361"/>
      <c r="L411" s="368" t="s">
        <v>2528</v>
      </c>
    </row>
    <row r="412" spans="1:12">
      <c r="A412" s="353"/>
      <c r="B412" s="375"/>
      <c r="C412" s="17"/>
      <c r="D412" s="17"/>
      <c r="E412" s="370"/>
      <c r="F412" s="359" t="s">
        <v>1309</v>
      </c>
      <c r="G412" s="353" t="s">
        <v>1230</v>
      </c>
      <c r="H412" s="17" t="s">
        <v>2034</v>
      </c>
      <c r="I412" s="371">
        <v>6</v>
      </c>
      <c r="J412" s="360"/>
      <c r="K412" s="361"/>
      <c r="L412" s="368" t="s">
        <v>2529</v>
      </c>
    </row>
    <row r="413" spans="1:12">
      <c r="A413" s="353"/>
      <c r="B413" s="375"/>
      <c r="C413" s="17"/>
      <c r="D413" s="17"/>
      <c r="E413" s="370"/>
      <c r="F413" s="359" t="s">
        <v>1317</v>
      </c>
      <c r="G413" s="353" t="s">
        <v>1210</v>
      </c>
      <c r="H413" s="17"/>
      <c r="I413" s="371">
        <v>20</v>
      </c>
      <c r="J413" s="360"/>
      <c r="K413" s="361"/>
      <c r="L413" s="368" t="s">
        <v>2530</v>
      </c>
    </row>
    <row r="414" spans="1:12" ht="15">
      <c r="A414" s="102"/>
      <c r="B414" s="105"/>
      <c r="C414" s="105"/>
      <c r="D414" s="321"/>
      <c r="E414" s="396"/>
      <c r="F414" s="105"/>
      <c r="G414" s="321"/>
      <c r="H414" s="104"/>
      <c r="I414" s="417"/>
      <c r="J414" s="108"/>
      <c r="K414" s="106"/>
      <c r="L414" s="321"/>
    </row>
    <row r="415" spans="1:12">
      <c r="A415" s="353"/>
      <c r="B415" s="375" t="s">
        <v>12</v>
      </c>
      <c r="C415" s="376" t="s">
        <v>73</v>
      </c>
      <c r="D415" s="376"/>
      <c r="E415" s="400"/>
      <c r="F415" s="377"/>
      <c r="G415" s="375"/>
      <c r="H415" s="376" t="s">
        <v>3428</v>
      </c>
      <c r="I415" s="419">
        <v>1</v>
      </c>
      <c r="J415" s="378"/>
      <c r="K415" s="379"/>
      <c r="L415" s="446" t="s">
        <v>1921</v>
      </c>
    </row>
    <row r="416" spans="1:12">
      <c r="A416" s="353"/>
      <c r="B416" s="375"/>
      <c r="C416" s="17"/>
      <c r="D416" s="368" t="s">
        <v>73</v>
      </c>
      <c r="E416" s="370" t="s">
        <v>1311</v>
      </c>
      <c r="F416" s="359"/>
      <c r="G416" s="353"/>
      <c r="H416" s="364" t="s">
        <v>2508</v>
      </c>
      <c r="I416" s="371">
        <v>1</v>
      </c>
      <c r="J416" s="360"/>
      <c r="K416" s="361"/>
      <c r="L416" s="368" t="s">
        <v>1922</v>
      </c>
    </row>
    <row r="417" spans="1:12" ht="15">
      <c r="A417" s="102"/>
      <c r="B417" s="105"/>
      <c r="C417" s="105"/>
      <c r="D417" s="321"/>
      <c r="E417" s="396"/>
      <c r="F417" s="105"/>
      <c r="G417" s="321"/>
      <c r="H417" s="104"/>
      <c r="I417" s="417"/>
      <c r="J417" s="108"/>
      <c r="K417" s="106"/>
      <c r="L417" s="321"/>
    </row>
    <row r="418" spans="1:12">
      <c r="A418" s="353"/>
      <c r="B418" s="375" t="s">
        <v>12</v>
      </c>
      <c r="C418" s="376" t="s">
        <v>59</v>
      </c>
      <c r="D418" s="376"/>
      <c r="E418" s="400"/>
      <c r="F418" s="377"/>
      <c r="G418" s="375"/>
      <c r="H418" s="376" t="s">
        <v>3428</v>
      </c>
      <c r="I418" s="419">
        <v>1</v>
      </c>
      <c r="J418" s="378"/>
      <c r="K418" s="379"/>
      <c r="L418" s="446" t="s">
        <v>2581</v>
      </c>
    </row>
    <row r="419" spans="1:12">
      <c r="A419" s="353"/>
      <c r="B419" s="375"/>
      <c r="C419" s="17"/>
      <c r="D419" s="17" t="s">
        <v>2947</v>
      </c>
      <c r="E419" s="370" t="s">
        <v>1311</v>
      </c>
      <c r="F419" s="359"/>
      <c r="G419" s="353"/>
      <c r="H419" s="17" t="s">
        <v>4021</v>
      </c>
      <c r="I419" s="371">
        <v>1</v>
      </c>
      <c r="J419" s="360"/>
      <c r="K419" s="361"/>
      <c r="L419" s="368" t="s">
        <v>2582</v>
      </c>
    </row>
    <row r="420" spans="1:12" ht="15">
      <c r="A420" s="102"/>
      <c r="B420" s="375"/>
      <c r="C420" s="17"/>
      <c r="D420" s="17" t="s">
        <v>2957</v>
      </c>
      <c r="E420" s="370" t="s">
        <v>1302</v>
      </c>
      <c r="F420" s="359"/>
      <c r="G420" s="353"/>
      <c r="H420" s="17"/>
      <c r="I420" s="371">
        <v>1</v>
      </c>
      <c r="J420" s="360"/>
      <c r="K420" s="361"/>
      <c r="L420" s="368" t="s">
        <v>2948</v>
      </c>
    </row>
    <row r="421" spans="1:12" ht="15">
      <c r="A421" s="102"/>
      <c r="B421" s="375"/>
      <c r="C421" s="17"/>
      <c r="D421" s="17"/>
      <c r="E421" s="370"/>
      <c r="F421" s="359" t="s">
        <v>1309</v>
      </c>
      <c r="G421" s="353" t="s">
        <v>2949</v>
      </c>
      <c r="H421" s="17" t="s">
        <v>2953</v>
      </c>
      <c r="I421" s="371">
        <v>1</v>
      </c>
      <c r="J421" s="360"/>
      <c r="K421" s="361"/>
      <c r="L421" s="368" t="s">
        <v>2950</v>
      </c>
    </row>
    <row r="422" spans="1:12" ht="15">
      <c r="A422" s="102"/>
      <c r="B422" s="375"/>
      <c r="C422" s="17"/>
      <c r="D422" s="17"/>
      <c r="E422" s="370"/>
      <c r="F422" s="359" t="s">
        <v>1309</v>
      </c>
      <c r="G422" s="353" t="s">
        <v>2951</v>
      </c>
      <c r="H422" s="17" t="s">
        <v>2954</v>
      </c>
      <c r="I422" s="371">
        <v>1</v>
      </c>
      <c r="J422" s="360"/>
      <c r="K422" s="361"/>
      <c r="L422" s="368" t="s">
        <v>2952</v>
      </c>
    </row>
    <row r="423" spans="1:12" ht="15">
      <c r="A423" s="102"/>
      <c r="B423" s="375"/>
      <c r="C423" s="17"/>
      <c r="D423" s="17"/>
      <c r="E423" s="370"/>
      <c r="F423" s="359" t="s">
        <v>1309</v>
      </c>
      <c r="G423" s="353" t="s">
        <v>2955</v>
      </c>
      <c r="H423" s="17" t="s">
        <v>2954</v>
      </c>
      <c r="I423" s="371">
        <v>1</v>
      </c>
      <c r="J423" s="360"/>
      <c r="K423" s="361"/>
      <c r="L423" s="368" t="s">
        <v>2956</v>
      </c>
    </row>
    <row r="424" spans="1:12" ht="15">
      <c r="A424" s="102"/>
      <c r="B424" s="375"/>
      <c r="C424" s="17"/>
      <c r="D424" s="17"/>
      <c r="E424" s="370"/>
      <c r="F424" s="359" t="s">
        <v>1309</v>
      </c>
      <c r="G424" s="353" t="s">
        <v>2960</v>
      </c>
      <c r="H424" s="17" t="s">
        <v>2958</v>
      </c>
      <c r="I424" s="371">
        <v>1</v>
      </c>
      <c r="J424" s="360"/>
      <c r="K424" s="361"/>
      <c r="L424" s="368" t="s">
        <v>2959</v>
      </c>
    </row>
    <row r="425" spans="1:12" ht="15">
      <c r="A425" s="102"/>
      <c r="B425" s="375"/>
      <c r="C425" s="17"/>
      <c r="D425" s="17"/>
      <c r="E425" s="370"/>
      <c r="F425" s="359" t="s">
        <v>1309</v>
      </c>
      <c r="G425" s="353" t="s">
        <v>2961</v>
      </c>
      <c r="H425" s="17" t="s">
        <v>2962</v>
      </c>
      <c r="I425" s="371">
        <v>1</v>
      </c>
      <c r="J425" s="360"/>
      <c r="K425" s="361"/>
      <c r="L425" s="368" t="s">
        <v>2963</v>
      </c>
    </row>
    <row r="426" spans="1:12" ht="15">
      <c r="A426" s="102"/>
      <c r="B426" s="375"/>
      <c r="C426" s="17"/>
      <c r="D426" s="17"/>
      <c r="E426" s="370"/>
      <c r="F426" s="359" t="s">
        <v>1317</v>
      </c>
      <c r="G426" s="353" t="s">
        <v>1210</v>
      </c>
      <c r="H426" s="17"/>
      <c r="I426" s="371">
        <v>9</v>
      </c>
      <c r="J426" s="360"/>
      <c r="K426" s="361"/>
      <c r="L426" s="368" t="s">
        <v>2964</v>
      </c>
    </row>
    <row r="427" spans="1:12" ht="15">
      <c r="A427" s="102"/>
      <c r="B427" s="375"/>
      <c r="C427" s="17"/>
      <c r="D427" s="17"/>
      <c r="E427" s="370"/>
      <c r="F427" s="359" t="s">
        <v>1309</v>
      </c>
      <c r="G427" s="353" t="s">
        <v>1229</v>
      </c>
      <c r="H427" s="17"/>
      <c r="I427" s="371">
        <v>4</v>
      </c>
      <c r="J427" s="360"/>
      <c r="K427" s="361"/>
      <c r="L427" s="368" t="s">
        <v>2965</v>
      </c>
    </row>
    <row r="428" spans="1:12" ht="15">
      <c r="A428" s="102"/>
      <c r="B428" s="375"/>
      <c r="C428" s="17"/>
      <c r="D428" s="17" t="s">
        <v>2966</v>
      </c>
      <c r="E428" s="370" t="s">
        <v>1302</v>
      </c>
      <c r="F428" s="359"/>
      <c r="G428" s="353"/>
      <c r="H428" s="17" t="s">
        <v>2969</v>
      </c>
      <c r="I428" s="371">
        <v>1</v>
      </c>
      <c r="J428" s="360"/>
      <c r="K428" s="361"/>
      <c r="L428" s="368" t="s">
        <v>2967</v>
      </c>
    </row>
    <row r="429" spans="1:12" ht="15">
      <c r="A429" s="102"/>
      <c r="B429" s="375"/>
      <c r="C429" s="17"/>
      <c r="D429" s="17"/>
      <c r="E429" s="370"/>
      <c r="F429" s="359" t="s">
        <v>1317</v>
      </c>
      <c r="G429" s="353" t="s">
        <v>1129</v>
      </c>
      <c r="H429" s="17"/>
      <c r="I429" s="371">
        <v>6</v>
      </c>
      <c r="J429" s="360"/>
      <c r="K429" s="361"/>
      <c r="L429" s="368" t="s">
        <v>2968</v>
      </c>
    </row>
    <row r="430" spans="1:12" ht="15">
      <c r="A430" s="102"/>
      <c r="B430" s="375"/>
      <c r="C430" s="17"/>
      <c r="D430" s="17"/>
      <c r="E430" s="370"/>
      <c r="F430" s="359" t="s">
        <v>1305</v>
      </c>
      <c r="G430" s="353" t="s">
        <v>2970</v>
      </c>
      <c r="H430" s="17"/>
      <c r="I430" s="371">
        <v>1</v>
      </c>
      <c r="J430" s="360"/>
      <c r="K430" s="361"/>
      <c r="L430" s="368" t="s">
        <v>2971</v>
      </c>
    </row>
    <row r="431" spans="1:12" ht="15">
      <c r="A431" s="102"/>
      <c r="B431" s="375"/>
      <c r="C431" s="17"/>
      <c r="D431" s="17" t="s">
        <v>4022</v>
      </c>
      <c r="E431" s="370" t="s">
        <v>1302</v>
      </c>
      <c r="F431" s="359"/>
      <c r="G431" s="353"/>
      <c r="H431" s="17"/>
      <c r="I431" s="371">
        <v>1</v>
      </c>
      <c r="J431" s="360"/>
      <c r="K431" s="361"/>
      <c r="L431" s="368" t="s">
        <v>4023</v>
      </c>
    </row>
    <row r="432" spans="1:12" ht="15">
      <c r="A432" s="102"/>
      <c r="B432" s="375"/>
      <c r="C432" s="17"/>
      <c r="D432" s="17"/>
      <c r="E432" s="370"/>
      <c r="F432" s="359" t="s">
        <v>1309</v>
      </c>
      <c r="G432" s="353" t="s">
        <v>1228</v>
      </c>
      <c r="H432" s="17" t="s">
        <v>2523</v>
      </c>
      <c r="I432" s="371">
        <v>4</v>
      </c>
      <c r="J432" s="360"/>
      <c r="K432" s="361"/>
      <c r="L432" s="368" t="s">
        <v>4024</v>
      </c>
    </row>
    <row r="433" spans="1:12" ht="15">
      <c r="A433" s="102"/>
      <c r="B433" s="375"/>
      <c r="C433" s="17"/>
      <c r="D433" s="17"/>
      <c r="E433" s="370"/>
      <c r="F433" s="359" t="s">
        <v>1309</v>
      </c>
      <c r="G433" s="353" t="s">
        <v>1235</v>
      </c>
      <c r="H433" s="17" t="s">
        <v>2034</v>
      </c>
      <c r="I433" s="371">
        <v>4</v>
      </c>
      <c r="J433" s="360"/>
      <c r="K433" s="361"/>
      <c r="L433" s="368" t="s">
        <v>4025</v>
      </c>
    </row>
    <row r="434" spans="1:12" ht="15">
      <c r="A434" s="102"/>
      <c r="B434" s="375"/>
      <c r="C434" s="17"/>
      <c r="D434" s="17"/>
      <c r="E434" s="370"/>
      <c r="F434" s="359" t="s">
        <v>1309</v>
      </c>
      <c r="G434" s="353" t="s">
        <v>1230</v>
      </c>
      <c r="H434" s="17" t="s">
        <v>2034</v>
      </c>
      <c r="I434" s="371">
        <v>4</v>
      </c>
      <c r="J434" s="360"/>
      <c r="K434" s="361"/>
      <c r="L434" s="368" t="s">
        <v>4026</v>
      </c>
    </row>
    <row r="435" spans="1:12" ht="15">
      <c r="A435" s="102"/>
      <c r="B435" s="105"/>
      <c r="C435" s="105"/>
      <c r="D435" s="321"/>
      <c r="E435" s="396"/>
      <c r="F435" s="105"/>
      <c r="G435" s="321"/>
      <c r="H435" s="104"/>
      <c r="I435" s="417"/>
      <c r="J435" s="108"/>
      <c r="K435" s="106"/>
      <c r="L435" s="321"/>
    </row>
    <row r="436" spans="1:12">
      <c r="A436" s="353"/>
      <c r="B436" s="375" t="s">
        <v>12</v>
      </c>
      <c r="C436" s="376" t="s">
        <v>23</v>
      </c>
      <c r="D436" s="376"/>
      <c r="E436" s="400"/>
      <c r="F436" s="377"/>
      <c r="G436" s="375"/>
      <c r="H436" s="376"/>
      <c r="I436" s="419">
        <v>1</v>
      </c>
      <c r="J436" s="378"/>
      <c r="K436" s="379"/>
      <c r="L436" s="446" t="s">
        <v>2651</v>
      </c>
    </row>
    <row r="437" spans="1:12">
      <c r="A437" s="353"/>
      <c r="B437" s="375"/>
      <c r="C437" s="17"/>
      <c r="D437" s="17" t="s">
        <v>2650</v>
      </c>
      <c r="E437" s="370" t="s">
        <v>1302</v>
      </c>
      <c r="F437" s="359"/>
      <c r="G437" s="353"/>
      <c r="H437" s="17" t="s">
        <v>4082</v>
      </c>
      <c r="I437" s="371">
        <v>1</v>
      </c>
      <c r="J437" s="360"/>
      <c r="K437" s="361"/>
      <c r="L437" s="368" t="s">
        <v>2652</v>
      </c>
    </row>
    <row r="438" spans="1:12" ht="15">
      <c r="A438" s="102"/>
      <c r="B438" s="375"/>
      <c r="C438" s="17"/>
      <c r="D438" s="17" t="s">
        <v>4089</v>
      </c>
      <c r="E438" s="370" t="s">
        <v>1302</v>
      </c>
      <c r="F438" s="359"/>
      <c r="G438" s="353"/>
      <c r="H438" s="17"/>
      <c r="I438" s="371">
        <v>2</v>
      </c>
      <c r="J438" s="360"/>
      <c r="K438" s="361"/>
      <c r="L438" s="368" t="s">
        <v>2663</v>
      </c>
    </row>
    <row r="439" spans="1:12" ht="15">
      <c r="A439" s="102"/>
      <c r="B439" s="375"/>
      <c r="C439" s="17"/>
      <c r="D439" s="17"/>
      <c r="E439" s="370"/>
      <c r="F439" s="359" t="s">
        <v>1317</v>
      </c>
      <c r="G439" s="353" t="s">
        <v>1156</v>
      </c>
      <c r="H439" s="17"/>
      <c r="I439" s="371">
        <v>1</v>
      </c>
      <c r="J439" s="360"/>
      <c r="K439" s="361" t="s">
        <v>4053</v>
      </c>
      <c r="L439" s="368" t="s">
        <v>4052</v>
      </c>
    </row>
    <row r="440" spans="1:12" ht="15.75" thickBot="1">
      <c r="A440" s="102"/>
      <c r="B440" s="375"/>
      <c r="C440" s="17"/>
      <c r="D440" s="17"/>
      <c r="E440" s="370"/>
      <c r="F440" s="359" t="s">
        <v>1317</v>
      </c>
      <c r="G440" s="353" t="s">
        <v>941</v>
      </c>
      <c r="H440" s="17" t="s">
        <v>4101</v>
      </c>
      <c r="I440" s="371">
        <v>1</v>
      </c>
      <c r="J440" s="360"/>
      <c r="K440" s="361" t="s">
        <v>4053</v>
      </c>
      <c r="L440" s="368" t="s">
        <v>4054</v>
      </c>
    </row>
    <row r="441" spans="1:12" ht="16.5" thickTop="1" thickBot="1">
      <c r="A441" s="102"/>
      <c r="B441" s="375"/>
      <c r="C441" s="476"/>
      <c r="D441" s="477"/>
      <c r="E441" s="478"/>
      <c r="F441" s="479" t="s">
        <v>1317</v>
      </c>
      <c r="G441" s="480" t="s">
        <v>1711</v>
      </c>
      <c r="H441" s="477" t="s">
        <v>2515</v>
      </c>
      <c r="I441" s="481">
        <v>3</v>
      </c>
      <c r="J441" s="482"/>
      <c r="K441" s="483"/>
      <c r="L441" s="484" t="s">
        <v>4055</v>
      </c>
    </row>
    <row r="442" spans="1:12" ht="15.75" thickTop="1">
      <c r="A442" s="102"/>
      <c r="B442" s="375"/>
      <c r="C442" s="17"/>
      <c r="D442" s="17" t="s">
        <v>4067</v>
      </c>
      <c r="E442" s="370" t="s">
        <v>1302</v>
      </c>
      <c r="F442" s="359"/>
      <c r="G442" s="353"/>
      <c r="H442" s="17"/>
      <c r="I442" s="371">
        <v>1</v>
      </c>
      <c r="J442" s="360"/>
      <c r="K442" s="361"/>
      <c r="L442" s="368" t="s">
        <v>2664</v>
      </c>
    </row>
    <row r="443" spans="1:12" ht="15">
      <c r="A443" s="102"/>
      <c r="B443" s="375"/>
      <c r="C443" s="17"/>
      <c r="D443" s="17"/>
      <c r="E443" s="370"/>
      <c r="F443" s="359" t="s">
        <v>1317</v>
      </c>
      <c r="G443" s="353" t="s">
        <v>1199</v>
      </c>
      <c r="H443" s="17" t="s">
        <v>3211</v>
      </c>
      <c r="I443" s="371">
        <v>1</v>
      </c>
      <c r="J443" s="360"/>
      <c r="K443" s="361"/>
      <c r="L443" s="368" t="s">
        <v>4063</v>
      </c>
    </row>
    <row r="444" spans="1:12" ht="15">
      <c r="A444" s="102"/>
      <c r="B444" s="375"/>
      <c r="C444" s="17"/>
      <c r="D444" s="17"/>
      <c r="E444" s="370"/>
      <c r="F444" s="359" t="s">
        <v>1309</v>
      </c>
      <c r="G444" s="353" t="s">
        <v>1228</v>
      </c>
      <c r="H444" s="17" t="s">
        <v>2647</v>
      </c>
      <c r="I444" s="371">
        <v>2</v>
      </c>
      <c r="J444" s="360"/>
      <c r="K444" s="361"/>
      <c r="L444" s="368" t="s">
        <v>4064</v>
      </c>
    </row>
    <row r="445" spans="1:12" ht="15">
      <c r="A445" s="102"/>
      <c r="B445" s="375"/>
      <c r="C445" s="17"/>
      <c r="D445" s="17"/>
      <c r="E445" s="370"/>
      <c r="F445" s="359" t="s">
        <v>1309</v>
      </c>
      <c r="G445" s="353" t="s">
        <v>1230</v>
      </c>
      <c r="H445" s="17" t="s">
        <v>1565</v>
      </c>
      <c r="I445" s="371">
        <v>2</v>
      </c>
      <c r="J445" s="360"/>
      <c r="K445" s="361"/>
      <c r="L445" s="368" t="s">
        <v>4065</v>
      </c>
    </row>
    <row r="446" spans="1:12" ht="15">
      <c r="A446" s="102"/>
      <c r="B446" s="375"/>
      <c r="C446" s="17"/>
      <c r="D446" s="17"/>
      <c r="E446" s="370"/>
      <c r="F446" s="359" t="s">
        <v>1309</v>
      </c>
      <c r="G446" s="353" t="s">
        <v>1235</v>
      </c>
      <c r="H446" s="17" t="s">
        <v>1565</v>
      </c>
      <c r="I446" s="371">
        <v>2</v>
      </c>
      <c r="J446" s="360"/>
      <c r="K446" s="361"/>
      <c r="L446" s="368" t="s">
        <v>4066</v>
      </c>
    </row>
    <row r="447" spans="1:12" ht="15">
      <c r="A447" s="102"/>
      <c r="B447" s="375"/>
      <c r="C447" s="17"/>
      <c r="D447" s="17" t="s">
        <v>3707</v>
      </c>
      <c r="E447" s="370" t="s">
        <v>1311</v>
      </c>
      <c r="F447" s="359"/>
      <c r="G447" s="353"/>
      <c r="H447" s="17" t="s">
        <v>3978</v>
      </c>
      <c r="I447" s="371">
        <v>1</v>
      </c>
      <c r="J447" s="360"/>
      <c r="K447" s="361"/>
      <c r="L447" s="368" t="s">
        <v>3708</v>
      </c>
    </row>
    <row r="448" spans="1:12" ht="15">
      <c r="A448" s="102"/>
      <c r="B448" s="375"/>
      <c r="C448" s="17"/>
      <c r="D448" s="17" t="s">
        <v>4056</v>
      </c>
      <c r="E448" s="370" t="s">
        <v>1302</v>
      </c>
      <c r="F448" s="359"/>
      <c r="G448" s="353"/>
      <c r="H448" s="17"/>
      <c r="I448" s="371">
        <v>2</v>
      </c>
      <c r="J448" s="360"/>
      <c r="K448" s="361"/>
      <c r="L448" s="368" t="s">
        <v>4057</v>
      </c>
    </row>
    <row r="449" spans="1:12" ht="15">
      <c r="A449" s="102"/>
      <c r="B449" s="375"/>
      <c r="C449" s="17"/>
      <c r="D449" s="17"/>
      <c r="E449" s="370"/>
      <c r="F449" s="359" t="s">
        <v>1305</v>
      </c>
      <c r="G449" s="353" t="s">
        <v>1007</v>
      </c>
      <c r="H449" s="17" t="s">
        <v>4058</v>
      </c>
      <c r="I449" s="371">
        <v>1</v>
      </c>
      <c r="J449" s="360"/>
      <c r="K449" s="361"/>
      <c r="L449" s="368" t="s">
        <v>4059</v>
      </c>
    </row>
    <row r="450" spans="1:12" ht="15">
      <c r="A450" s="102"/>
      <c r="B450" s="375"/>
      <c r="C450" s="17"/>
      <c r="D450" s="17"/>
      <c r="E450" s="370"/>
      <c r="F450" s="359" t="s">
        <v>1317</v>
      </c>
      <c r="G450" s="353" t="s">
        <v>941</v>
      </c>
      <c r="H450" s="17" t="s">
        <v>4105</v>
      </c>
      <c r="I450" s="371">
        <v>1</v>
      </c>
      <c r="J450" s="360"/>
      <c r="K450" s="361" t="s">
        <v>4061</v>
      </c>
      <c r="L450" s="368" t="s">
        <v>4060</v>
      </c>
    </row>
    <row r="451" spans="1:12" ht="15">
      <c r="A451" s="102"/>
      <c r="B451" s="375"/>
      <c r="C451" s="17"/>
      <c r="D451" s="17"/>
      <c r="E451" s="370"/>
      <c r="F451" s="359" t="s">
        <v>1317</v>
      </c>
      <c r="G451" s="353" t="s">
        <v>1157</v>
      </c>
      <c r="H451" s="17" t="s">
        <v>1339</v>
      </c>
      <c r="I451" s="371">
        <v>1</v>
      </c>
      <c r="J451" s="360"/>
      <c r="K451" s="361"/>
      <c r="L451" s="368" t="s">
        <v>4062</v>
      </c>
    </row>
    <row r="452" spans="1:12" ht="15">
      <c r="A452" s="102"/>
      <c r="B452" s="375"/>
      <c r="C452" s="17"/>
      <c r="D452" s="17" t="s">
        <v>4073</v>
      </c>
      <c r="E452" s="370" t="s">
        <v>1302</v>
      </c>
      <c r="F452" s="359"/>
      <c r="G452" s="353"/>
      <c r="H452" s="17"/>
      <c r="I452" s="371">
        <v>1</v>
      </c>
      <c r="J452" s="360"/>
      <c r="K452" s="361"/>
      <c r="L452" s="368" t="s">
        <v>4068</v>
      </c>
    </row>
    <row r="453" spans="1:12" ht="15">
      <c r="A453" s="102"/>
      <c r="B453" s="375"/>
      <c r="C453" s="17"/>
      <c r="D453" s="17"/>
      <c r="E453" s="370"/>
      <c r="F453" s="359" t="s">
        <v>1317</v>
      </c>
      <c r="G453" s="353" t="s">
        <v>1156</v>
      </c>
      <c r="H453" s="17"/>
      <c r="I453" s="371">
        <v>1</v>
      </c>
      <c r="J453" s="360"/>
      <c r="K453" s="361" t="s">
        <v>4070</v>
      </c>
      <c r="L453" s="368" t="s">
        <v>4069</v>
      </c>
    </row>
    <row r="454" spans="1:12" ht="15">
      <c r="A454" s="102"/>
      <c r="B454" s="375"/>
      <c r="C454" s="17"/>
      <c r="D454" s="17"/>
      <c r="E454" s="370"/>
      <c r="F454" s="359" t="s">
        <v>1317</v>
      </c>
      <c r="G454" s="353" t="s">
        <v>1711</v>
      </c>
      <c r="H454" s="17" t="s">
        <v>2515</v>
      </c>
      <c r="I454" s="371">
        <v>2</v>
      </c>
      <c r="J454" s="360"/>
      <c r="K454" s="361" t="s">
        <v>3661</v>
      </c>
      <c r="L454" s="368" t="s">
        <v>4071</v>
      </c>
    </row>
    <row r="455" spans="1:12" ht="15">
      <c r="A455" s="102"/>
      <c r="B455" s="375"/>
      <c r="C455" s="17"/>
      <c r="D455" s="17"/>
      <c r="E455" s="370"/>
      <c r="F455" s="359" t="s">
        <v>1317</v>
      </c>
      <c r="G455" s="353" t="s">
        <v>941</v>
      </c>
      <c r="H455" s="17" t="s">
        <v>4103</v>
      </c>
      <c r="I455" s="371">
        <v>1</v>
      </c>
      <c r="J455" s="360"/>
      <c r="K455" s="361" t="s">
        <v>4102</v>
      </c>
      <c r="L455" s="368" t="s">
        <v>4072</v>
      </c>
    </row>
    <row r="456" spans="1:12" ht="15">
      <c r="A456" s="102"/>
      <c r="B456" s="375"/>
      <c r="C456" s="17"/>
      <c r="D456" s="17"/>
      <c r="E456" s="370"/>
      <c r="F456" s="359" t="s">
        <v>1305</v>
      </c>
      <c r="G456" s="353" t="s">
        <v>1007</v>
      </c>
      <c r="H456" s="17"/>
      <c r="I456" s="371">
        <v>1</v>
      </c>
      <c r="J456" s="360"/>
      <c r="K456" s="361"/>
      <c r="L456" s="368" t="s">
        <v>4076</v>
      </c>
    </row>
    <row r="457" spans="1:12" ht="15">
      <c r="A457" s="102"/>
      <c r="B457" s="375"/>
      <c r="C457" s="17"/>
      <c r="D457" s="17" t="s">
        <v>4074</v>
      </c>
      <c r="E457" s="370" t="s">
        <v>1302</v>
      </c>
      <c r="F457" s="359"/>
      <c r="G457" s="353"/>
      <c r="H457" s="17"/>
      <c r="I457" s="371">
        <v>1</v>
      </c>
      <c r="J457" s="360"/>
      <c r="K457" s="361"/>
      <c r="L457" s="368" t="s">
        <v>4075</v>
      </c>
    </row>
    <row r="458" spans="1:12" ht="15">
      <c r="A458" s="102"/>
      <c r="B458" s="375"/>
      <c r="C458" s="17"/>
      <c r="D458" s="17"/>
      <c r="E458" s="370"/>
      <c r="F458" s="359" t="s">
        <v>1305</v>
      </c>
      <c r="G458" s="353" t="s">
        <v>1007</v>
      </c>
      <c r="H458" s="17"/>
      <c r="I458" s="371">
        <v>1</v>
      </c>
      <c r="J458" s="360"/>
      <c r="K458" s="361"/>
      <c r="L458" s="368" t="s">
        <v>4077</v>
      </c>
    </row>
    <row r="459" spans="1:12" ht="15">
      <c r="A459" s="102"/>
      <c r="B459" s="375"/>
      <c r="C459" s="17"/>
      <c r="D459" s="17"/>
      <c r="E459" s="370"/>
      <c r="F459" s="359" t="s">
        <v>1317</v>
      </c>
      <c r="G459" s="353" t="s">
        <v>1156</v>
      </c>
      <c r="H459" s="17"/>
      <c r="I459" s="371">
        <v>1</v>
      </c>
      <c r="J459" s="360"/>
      <c r="K459" s="361" t="s">
        <v>4079</v>
      </c>
      <c r="L459" s="368" t="s">
        <v>4078</v>
      </c>
    </row>
    <row r="460" spans="1:12" ht="15">
      <c r="A460" s="102"/>
      <c r="B460" s="375"/>
      <c r="C460" s="17"/>
      <c r="D460" s="17"/>
      <c r="E460" s="370"/>
      <c r="F460" s="359" t="s">
        <v>1317</v>
      </c>
      <c r="G460" s="353" t="s">
        <v>1711</v>
      </c>
      <c r="H460" s="17" t="s">
        <v>2515</v>
      </c>
      <c r="I460" s="371">
        <v>1</v>
      </c>
      <c r="J460" s="360"/>
      <c r="K460" s="361"/>
      <c r="L460" s="368" t="s">
        <v>4080</v>
      </c>
    </row>
    <row r="461" spans="1:12" ht="15">
      <c r="A461" s="102"/>
      <c r="B461" s="375"/>
      <c r="C461" s="17"/>
      <c r="D461" s="17"/>
      <c r="E461" s="370"/>
      <c r="F461" s="359" t="s">
        <v>1317</v>
      </c>
      <c r="G461" s="353" t="s">
        <v>941</v>
      </c>
      <c r="H461" s="17" t="s">
        <v>4103</v>
      </c>
      <c r="I461" s="371">
        <v>1</v>
      </c>
      <c r="J461" s="360"/>
      <c r="K461" s="361" t="s">
        <v>4102</v>
      </c>
      <c r="L461" s="368" t="s">
        <v>4081</v>
      </c>
    </row>
    <row r="462" spans="1:12" ht="15">
      <c r="A462" s="102"/>
      <c r="B462" s="375"/>
      <c r="C462" s="17"/>
      <c r="D462" s="17" t="s">
        <v>4088</v>
      </c>
      <c r="E462" s="370" t="s">
        <v>1302</v>
      </c>
      <c r="F462" s="359"/>
      <c r="G462" s="353"/>
      <c r="H462" s="17"/>
      <c r="I462" s="371">
        <v>1</v>
      </c>
      <c r="J462" s="360"/>
      <c r="K462" s="361"/>
      <c r="L462" s="368" t="s">
        <v>4083</v>
      </c>
    </row>
    <row r="463" spans="1:12" ht="15">
      <c r="A463" s="102"/>
      <c r="B463" s="375"/>
      <c r="C463" s="17"/>
      <c r="D463" s="17"/>
      <c r="E463" s="370"/>
      <c r="F463" s="359" t="s">
        <v>1317</v>
      </c>
      <c r="G463" s="353" t="s">
        <v>1156</v>
      </c>
      <c r="H463" s="17"/>
      <c r="I463" s="371">
        <v>1</v>
      </c>
      <c r="J463" s="360"/>
      <c r="K463" s="361" t="s">
        <v>4084</v>
      </c>
      <c r="L463" s="368" t="s">
        <v>4085</v>
      </c>
    </row>
    <row r="464" spans="1:12" ht="15">
      <c r="A464" s="102"/>
      <c r="B464" s="375"/>
      <c r="C464" s="17"/>
      <c r="D464" s="17"/>
      <c r="E464" s="370"/>
      <c r="F464" s="359" t="s">
        <v>1317</v>
      </c>
      <c r="G464" s="353" t="s">
        <v>941</v>
      </c>
      <c r="H464" s="17" t="s">
        <v>4101</v>
      </c>
      <c r="I464" s="371">
        <v>1</v>
      </c>
      <c r="J464" s="360"/>
      <c r="K464" s="361" t="s">
        <v>4084</v>
      </c>
      <c r="L464" s="368" t="s">
        <v>4086</v>
      </c>
    </row>
    <row r="465" spans="1:13" ht="15">
      <c r="A465" s="102"/>
      <c r="B465" s="375"/>
      <c r="C465" s="17"/>
      <c r="D465" s="17"/>
      <c r="E465" s="370"/>
      <c r="F465" s="359" t="s">
        <v>1317</v>
      </c>
      <c r="G465" s="353" t="s">
        <v>1711</v>
      </c>
      <c r="H465" s="17" t="s">
        <v>2515</v>
      </c>
      <c r="I465" s="371">
        <v>4</v>
      </c>
      <c r="J465" s="360"/>
      <c r="K465" s="361"/>
      <c r="L465" s="368" t="s">
        <v>4087</v>
      </c>
    </row>
    <row r="466" spans="1:13" ht="15">
      <c r="A466" s="102"/>
      <c r="B466" s="375"/>
      <c r="C466" s="17"/>
      <c r="D466" s="17" t="s">
        <v>4090</v>
      </c>
      <c r="E466" s="370" t="s">
        <v>1302</v>
      </c>
      <c r="F466" s="359"/>
      <c r="G466" s="353"/>
      <c r="H466" s="17"/>
      <c r="I466" s="371">
        <v>32</v>
      </c>
      <c r="J466" s="360"/>
      <c r="K466" s="361"/>
      <c r="L466" s="368" t="s">
        <v>4091</v>
      </c>
    </row>
    <row r="467" spans="1:13" ht="15">
      <c r="A467" s="102"/>
      <c r="B467" s="375"/>
      <c r="C467" s="17"/>
      <c r="D467" s="17"/>
      <c r="E467" s="370"/>
      <c r="F467" s="359" t="s">
        <v>1317</v>
      </c>
      <c r="G467" s="353" t="s">
        <v>1711</v>
      </c>
      <c r="H467" s="17" t="s">
        <v>4092</v>
      </c>
      <c r="I467" s="371">
        <v>200</v>
      </c>
      <c r="J467" s="360"/>
      <c r="K467" s="361"/>
      <c r="L467" s="368" t="s">
        <v>4093</v>
      </c>
    </row>
    <row r="468" spans="1:13" ht="15">
      <c r="A468" s="102"/>
      <c r="B468" s="375"/>
      <c r="C468" s="17"/>
      <c r="D468" s="17"/>
      <c r="E468" s="370"/>
      <c r="F468" s="359" t="s">
        <v>1317</v>
      </c>
      <c r="G468" s="353" t="s">
        <v>941</v>
      </c>
      <c r="H468" s="17" t="s">
        <v>4104</v>
      </c>
      <c r="I468" s="371">
        <v>2</v>
      </c>
      <c r="J468" s="360"/>
      <c r="K468" s="361" t="s">
        <v>4094</v>
      </c>
      <c r="L468" s="368" t="s">
        <v>4095</v>
      </c>
    </row>
    <row r="469" spans="1:13" ht="15">
      <c r="A469" s="102"/>
      <c r="B469" s="375"/>
      <c r="C469" s="17"/>
      <c r="D469" s="17" t="s">
        <v>4096</v>
      </c>
      <c r="E469" s="370" t="s">
        <v>1302</v>
      </c>
      <c r="F469" s="359"/>
      <c r="G469" s="353"/>
      <c r="H469" s="17"/>
      <c r="I469" s="371">
        <v>30</v>
      </c>
      <c r="J469" s="360"/>
      <c r="K469" s="361"/>
      <c r="L469" s="368" t="s">
        <v>4097</v>
      </c>
    </row>
    <row r="470" spans="1:13" ht="15">
      <c r="A470" s="102"/>
      <c r="B470" s="375"/>
      <c r="C470" s="17"/>
      <c r="D470" s="17"/>
      <c r="E470" s="370"/>
      <c r="F470" s="359" t="s">
        <v>1317</v>
      </c>
      <c r="G470" s="353" t="s">
        <v>941</v>
      </c>
      <c r="H470" s="17" t="s">
        <v>4100</v>
      </c>
      <c r="I470" s="371">
        <v>2</v>
      </c>
      <c r="J470" s="360"/>
      <c r="K470" s="361" t="s">
        <v>4098</v>
      </c>
      <c r="L470" s="368" t="s">
        <v>4099</v>
      </c>
    </row>
    <row r="471" spans="1:13" ht="15">
      <c r="A471" s="102"/>
      <c r="B471" s="105"/>
      <c r="C471" s="105"/>
      <c r="D471" s="321"/>
      <c r="E471" s="396"/>
      <c r="F471" s="105"/>
      <c r="G471" s="321"/>
      <c r="H471" s="104"/>
      <c r="I471" s="417"/>
      <c r="J471" s="108"/>
      <c r="K471" s="106"/>
      <c r="L471" s="321"/>
    </row>
    <row r="472" spans="1:13">
      <c r="A472" s="353"/>
      <c r="B472" s="375" t="s">
        <v>12</v>
      </c>
      <c r="C472" s="376" t="s">
        <v>57</v>
      </c>
      <c r="D472" s="376"/>
      <c r="E472" s="400"/>
      <c r="F472" s="377"/>
      <c r="G472" s="375"/>
      <c r="H472" s="376" t="s">
        <v>3428</v>
      </c>
      <c r="I472" s="419">
        <v>1</v>
      </c>
      <c r="J472" s="378"/>
      <c r="K472" s="379"/>
      <c r="L472" s="446" t="s">
        <v>2916</v>
      </c>
    </row>
    <row r="473" spans="1:13" s="333" customFormat="1">
      <c r="A473" s="365"/>
      <c r="B473" s="435"/>
      <c r="C473" s="368"/>
      <c r="D473" s="368" t="s">
        <v>57</v>
      </c>
      <c r="E473" s="370" t="s">
        <v>1311</v>
      </c>
      <c r="F473" s="370"/>
      <c r="G473" s="365"/>
      <c r="H473" s="369" t="s">
        <v>3997</v>
      </c>
      <c r="I473" s="371">
        <v>1</v>
      </c>
      <c r="J473" s="372"/>
      <c r="K473" s="373"/>
      <c r="L473" s="368" t="s">
        <v>2917</v>
      </c>
      <c r="M473" s="367"/>
    </row>
    <row r="474" spans="1:13" ht="15">
      <c r="A474" s="102"/>
      <c r="B474" s="435"/>
      <c r="C474" s="368"/>
      <c r="D474" s="368" t="s">
        <v>2256</v>
      </c>
      <c r="E474" s="370" t="s">
        <v>1302</v>
      </c>
      <c r="F474" s="370"/>
      <c r="G474" s="365"/>
      <c r="H474" s="369"/>
      <c r="I474" s="371">
        <v>1</v>
      </c>
      <c r="J474" s="372"/>
      <c r="K474" s="373"/>
      <c r="L474" s="368" t="s">
        <v>2918</v>
      </c>
    </row>
    <row r="475" spans="1:13" ht="15">
      <c r="A475" s="102"/>
      <c r="B475" s="435"/>
      <c r="C475" s="368"/>
      <c r="D475" s="368"/>
      <c r="E475" s="370"/>
      <c r="F475" s="370" t="s">
        <v>2117</v>
      </c>
      <c r="G475" s="365" t="s">
        <v>1228</v>
      </c>
      <c r="H475" s="369" t="s">
        <v>2910</v>
      </c>
      <c r="I475" s="371">
        <v>8</v>
      </c>
      <c r="J475" s="372"/>
      <c r="K475" s="373"/>
      <c r="L475" s="368" t="s">
        <v>2919</v>
      </c>
    </row>
    <row r="476" spans="1:13" ht="15">
      <c r="A476" s="102"/>
      <c r="B476" s="435"/>
      <c r="C476" s="368"/>
      <c r="D476" s="368"/>
      <c r="E476" s="370"/>
      <c r="F476" s="370" t="s">
        <v>1317</v>
      </c>
      <c r="G476" s="365" t="s">
        <v>1210</v>
      </c>
      <c r="H476" s="369"/>
      <c r="I476" s="371">
        <v>8</v>
      </c>
      <c r="J476" s="372"/>
      <c r="K476" s="373"/>
      <c r="L476" s="368" t="s">
        <v>2920</v>
      </c>
    </row>
    <row r="477" spans="1:13" ht="15">
      <c r="A477" s="102"/>
      <c r="B477" s="435"/>
      <c r="C477" s="368"/>
      <c r="D477" s="368"/>
      <c r="E477" s="370"/>
      <c r="F477" s="370" t="s">
        <v>1317</v>
      </c>
      <c r="G477" s="365" t="s">
        <v>1199</v>
      </c>
      <c r="H477" s="369" t="s">
        <v>3709</v>
      </c>
      <c r="I477" s="371">
        <v>1</v>
      </c>
      <c r="J477" s="372"/>
      <c r="K477" s="373"/>
      <c r="L477" s="368" t="s">
        <v>2927</v>
      </c>
    </row>
    <row r="478" spans="1:13" ht="15">
      <c r="A478" s="102"/>
      <c r="B478" s="435"/>
      <c r="C478" s="368"/>
      <c r="D478" s="368" t="s">
        <v>3710</v>
      </c>
      <c r="E478" s="370" t="s">
        <v>1302</v>
      </c>
      <c r="F478" s="370"/>
      <c r="G478" s="365"/>
      <c r="H478" s="369" t="s">
        <v>3998</v>
      </c>
      <c r="I478" s="371">
        <v>1</v>
      </c>
      <c r="J478" s="372"/>
      <c r="K478" s="373"/>
      <c r="L478" s="368" t="s">
        <v>3711</v>
      </c>
    </row>
    <row r="479" spans="1:13" ht="15">
      <c r="A479" s="102"/>
      <c r="B479" s="435"/>
      <c r="C479" s="368"/>
      <c r="D479" s="368"/>
      <c r="E479" s="370"/>
      <c r="F479" s="370" t="s">
        <v>1317</v>
      </c>
      <c r="G479" s="365" t="s">
        <v>3712</v>
      </c>
      <c r="H479" s="369" t="s">
        <v>3723</v>
      </c>
      <c r="I479" s="371">
        <v>3</v>
      </c>
      <c r="J479" s="372"/>
      <c r="K479" s="373"/>
      <c r="L479" s="368" t="s">
        <v>3713</v>
      </c>
    </row>
    <row r="480" spans="1:13" ht="15">
      <c r="A480" s="102"/>
      <c r="B480" s="435"/>
      <c r="C480" s="368"/>
      <c r="D480" s="368"/>
      <c r="E480" s="370"/>
      <c r="F480" s="370" t="s">
        <v>1317</v>
      </c>
      <c r="G480" s="365" t="s">
        <v>941</v>
      </c>
      <c r="H480" s="369" t="s">
        <v>3720</v>
      </c>
      <c r="I480" s="371">
        <v>1</v>
      </c>
      <c r="J480" s="372"/>
      <c r="K480" s="373"/>
      <c r="L480" s="368" t="s">
        <v>3714</v>
      </c>
    </row>
    <row r="481" spans="1:12" ht="15">
      <c r="A481" s="102"/>
      <c r="B481" s="435"/>
      <c r="C481" s="368"/>
      <c r="D481" s="368"/>
      <c r="E481" s="370"/>
      <c r="F481" s="370" t="s">
        <v>1309</v>
      </c>
      <c r="G481" s="365" t="s">
        <v>1228</v>
      </c>
      <c r="H481" s="369" t="s">
        <v>1875</v>
      </c>
      <c r="I481" s="371">
        <v>1</v>
      </c>
      <c r="J481" s="372"/>
      <c r="K481" s="373"/>
      <c r="L481" s="368" t="s">
        <v>3729</v>
      </c>
    </row>
    <row r="482" spans="1:12" ht="15">
      <c r="A482" s="102"/>
      <c r="B482" s="435"/>
      <c r="C482" s="368"/>
      <c r="D482" s="368"/>
      <c r="E482" s="370"/>
      <c r="F482" s="370" t="s">
        <v>1309</v>
      </c>
      <c r="G482" s="365" t="s">
        <v>1230</v>
      </c>
      <c r="H482" s="369" t="s">
        <v>2034</v>
      </c>
      <c r="I482" s="371">
        <v>1</v>
      </c>
      <c r="J482" s="372"/>
      <c r="K482" s="373"/>
      <c r="L482" s="368" t="s">
        <v>3730</v>
      </c>
    </row>
    <row r="483" spans="1:12" ht="15">
      <c r="A483" s="102"/>
      <c r="B483" s="435"/>
      <c r="C483" s="368"/>
      <c r="D483" s="368"/>
      <c r="E483" s="370"/>
      <c r="F483" s="370" t="s">
        <v>1309</v>
      </c>
      <c r="G483" s="365" t="s">
        <v>1235</v>
      </c>
      <c r="H483" s="369" t="s">
        <v>2034</v>
      </c>
      <c r="I483" s="371">
        <v>1</v>
      </c>
      <c r="J483" s="372"/>
      <c r="K483" s="373"/>
      <c r="L483" s="368" t="s">
        <v>3731</v>
      </c>
    </row>
    <row r="484" spans="1:12" ht="15">
      <c r="A484" s="102"/>
      <c r="B484" s="435"/>
      <c r="C484" s="368"/>
      <c r="D484" s="368" t="s">
        <v>3715</v>
      </c>
      <c r="E484" s="370" t="s">
        <v>1302</v>
      </c>
      <c r="F484" s="370"/>
      <c r="G484" s="365"/>
      <c r="H484" s="369" t="s">
        <v>3716</v>
      </c>
      <c r="I484" s="371">
        <v>1</v>
      </c>
      <c r="J484" s="372"/>
      <c r="K484" s="373"/>
      <c r="L484" s="368" t="s">
        <v>3717</v>
      </c>
    </row>
    <row r="485" spans="1:12" ht="15">
      <c r="A485" s="102"/>
      <c r="B485" s="435"/>
      <c r="C485" s="368"/>
      <c r="D485" s="368"/>
      <c r="E485" s="370"/>
      <c r="F485" s="370" t="s">
        <v>1317</v>
      </c>
      <c r="G485" s="365" t="s">
        <v>3712</v>
      </c>
      <c r="H485" s="369" t="s">
        <v>3722</v>
      </c>
      <c r="I485" s="371">
        <v>2</v>
      </c>
      <c r="J485" s="372"/>
      <c r="K485" s="373"/>
      <c r="L485" s="368" t="s">
        <v>3718</v>
      </c>
    </row>
    <row r="486" spans="1:12" ht="15">
      <c r="A486" s="102"/>
      <c r="B486" s="435"/>
      <c r="C486" s="368"/>
      <c r="D486" s="368"/>
      <c r="E486" s="370"/>
      <c r="F486" s="370" t="s">
        <v>1317</v>
      </c>
      <c r="G486" s="365" t="s">
        <v>941</v>
      </c>
      <c r="H486" s="369" t="s">
        <v>3721</v>
      </c>
      <c r="I486" s="371">
        <v>1</v>
      </c>
      <c r="J486" s="372"/>
      <c r="K486" s="373"/>
      <c r="L486" s="368" t="s">
        <v>3719</v>
      </c>
    </row>
    <row r="487" spans="1:12" ht="15">
      <c r="A487" s="102"/>
      <c r="B487" s="435"/>
      <c r="C487" s="368"/>
      <c r="D487" s="368"/>
      <c r="E487" s="370"/>
      <c r="F487" s="370" t="s">
        <v>1309</v>
      </c>
      <c r="G487" s="365" t="s">
        <v>1228</v>
      </c>
      <c r="H487" s="369" t="s">
        <v>3724</v>
      </c>
      <c r="I487" s="371">
        <v>1</v>
      </c>
      <c r="J487" s="372"/>
      <c r="K487" s="373"/>
      <c r="L487" s="368" t="s">
        <v>3725</v>
      </c>
    </row>
    <row r="488" spans="1:12" ht="15">
      <c r="A488" s="102"/>
      <c r="B488" s="435"/>
      <c r="C488" s="368"/>
      <c r="D488" s="368"/>
      <c r="E488" s="370"/>
      <c r="F488" s="370" t="s">
        <v>1309</v>
      </c>
      <c r="G488" s="365" t="s">
        <v>1230</v>
      </c>
      <c r="H488" s="369" t="s">
        <v>2034</v>
      </c>
      <c r="I488" s="371">
        <v>1</v>
      </c>
      <c r="J488" s="372"/>
      <c r="K488" s="373"/>
      <c r="L488" s="368" t="s">
        <v>3726</v>
      </c>
    </row>
    <row r="489" spans="1:12" ht="15">
      <c r="A489" s="102"/>
      <c r="B489" s="435"/>
      <c r="C489" s="368"/>
      <c r="D489" s="368"/>
      <c r="E489" s="370"/>
      <c r="F489" s="370" t="s">
        <v>1317</v>
      </c>
      <c r="G489" s="365" t="s">
        <v>1199</v>
      </c>
      <c r="H489" s="369" t="s">
        <v>3727</v>
      </c>
      <c r="I489" s="371">
        <v>1</v>
      </c>
      <c r="J489" s="372"/>
      <c r="K489" s="373"/>
      <c r="L489" s="368" t="s">
        <v>3728</v>
      </c>
    </row>
    <row r="490" spans="1:12" ht="15">
      <c r="A490" s="102"/>
      <c r="B490" s="105"/>
      <c r="C490" s="105"/>
      <c r="D490" s="321"/>
      <c r="E490" s="396"/>
      <c r="F490" s="105"/>
      <c r="G490" s="321"/>
      <c r="H490" s="104"/>
      <c r="I490" s="417"/>
      <c r="J490" s="108"/>
      <c r="K490" s="106"/>
      <c r="L490" s="321"/>
    </row>
    <row r="491" spans="1:12">
      <c r="A491" s="353"/>
      <c r="B491" s="375" t="s">
        <v>12</v>
      </c>
      <c r="C491" s="376" t="s">
        <v>27</v>
      </c>
      <c r="D491" s="376"/>
      <c r="E491" s="400"/>
      <c r="F491" s="377"/>
      <c r="G491" s="375"/>
      <c r="H491" s="376" t="s">
        <v>3428</v>
      </c>
      <c r="I491" s="419">
        <v>1</v>
      </c>
      <c r="J491" s="378"/>
      <c r="K491" s="379"/>
      <c r="L491" s="446" t="s">
        <v>3374</v>
      </c>
    </row>
    <row r="492" spans="1:12">
      <c r="A492" s="353"/>
      <c r="B492" s="375"/>
      <c r="C492" s="17"/>
      <c r="D492" s="17" t="s">
        <v>4000</v>
      </c>
      <c r="E492" s="370" t="s">
        <v>1311</v>
      </c>
      <c r="F492" s="359"/>
      <c r="G492" s="353"/>
      <c r="H492" s="17" t="s">
        <v>4001</v>
      </c>
      <c r="I492" s="371">
        <v>1</v>
      </c>
      <c r="J492" s="360"/>
      <c r="K492" s="361"/>
      <c r="L492" s="368" t="s">
        <v>3375</v>
      </c>
    </row>
    <row r="493" spans="1:12" ht="15">
      <c r="A493" s="102"/>
      <c r="B493" s="375"/>
      <c r="C493" s="17"/>
      <c r="D493" s="17" t="s">
        <v>2211</v>
      </c>
      <c r="E493" s="370" t="s">
        <v>1302</v>
      </c>
      <c r="F493" s="359"/>
      <c r="G493" s="353"/>
      <c r="H493" s="17"/>
      <c r="I493" s="371">
        <v>1</v>
      </c>
      <c r="J493" s="360"/>
      <c r="K493" s="361"/>
      <c r="L493" s="368" t="s">
        <v>3376</v>
      </c>
    </row>
    <row r="494" spans="1:12" ht="15">
      <c r="A494" s="102"/>
      <c r="B494" s="375"/>
      <c r="C494" s="17"/>
      <c r="D494" s="17"/>
      <c r="E494" s="370"/>
      <c r="F494" s="359" t="s">
        <v>1317</v>
      </c>
      <c r="G494" s="353" t="s">
        <v>1199</v>
      </c>
      <c r="H494" s="17"/>
      <c r="I494" s="371">
        <v>1</v>
      </c>
      <c r="J494" s="360"/>
      <c r="K494" s="361"/>
      <c r="L494" s="368" t="s">
        <v>3377</v>
      </c>
    </row>
    <row r="495" spans="1:12" ht="15">
      <c r="A495" s="102"/>
      <c r="B495" s="105"/>
      <c r="C495" s="105"/>
      <c r="D495" s="321"/>
      <c r="E495" s="396"/>
      <c r="F495" s="105"/>
      <c r="G495" s="321"/>
      <c r="H495" s="104"/>
      <c r="I495" s="417"/>
      <c r="J495" s="108"/>
      <c r="K495" s="106"/>
      <c r="L495" s="321"/>
    </row>
    <row r="496" spans="1:12">
      <c r="A496" s="353"/>
      <c r="B496" s="375" t="s">
        <v>12</v>
      </c>
      <c r="C496" s="376" t="s">
        <v>3415</v>
      </c>
      <c r="D496" s="376"/>
      <c r="E496" s="377"/>
      <c r="F496" s="377"/>
      <c r="G496" s="375"/>
      <c r="H496" s="376" t="s">
        <v>3428</v>
      </c>
      <c r="I496" s="433">
        <v>1</v>
      </c>
      <c r="J496" s="378"/>
      <c r="K496" s="379"/>
      <c r="L496" s="376" t="s">
        <v>3416</v>
      </c>
    </row>
    <row r="497" spans="1:13" ht="28.5">
      <c r="A497" s="353"/>
      <c r="B497" s="375"/>
      <c r="C497" s="17"/>
      <c r="D497" s="364" t="s">
        <v>3999</v>
      </c>
      <c r="E497" s="359" t="s">
        <v>1311</v>
      </c>
      <c r="F497" s="359"/>
      <c r="G497" s="353"/>
      <c r="H497" s="364" t="s">
        <v>3432</v>
      </c>
      <c r="I497" s="434">
        <v>1</v>
      </c>
      <c r="J497" s="360"/>
      <c r="K497" s="361"/>
      <c r="L497" s="17" t="s">
        <v>3417</v>
      </c>
    </row>
    <row r="498" spans="1:13" ht="15">
      <c r="A498" s="102"/>
      <c r="B498" s="105"/>
      <c r="C498" s="105"/>
      <c r="D498" s="321"/>
      <c r="E498" s="396"/>
      <c r="F498" s="105"/>
      <c r="G498" s="321"/>
      <c r="H498" s="104"/>
      <c r="I498" s="417"/>
      <c r="J498" s="108"/>
      <c r="K498" s="106"/>
      <c r="L498" s="321"/>
    </row>
    <row r="499" spans="1:13" ht="18">
      <c r="A499" s="158" t="s">
        <v>1293</v>
      </c>
      <c r="B499" s="105"/>
      <c r="C499" s="105"/>
      <c r="D499" s="321"/>
      <c r="E499" s="396"/>
      <c r="F499" s="105"/>
      <c r="G499" s="321"/>
      <c r="H499" s="159" t="s">
        <v>1247</v>
      </c>
      <c r="I499" s="414">
        <v>1</v>
      </c>
      <c r="J499" s="134">
        <v>2092.3309999999997</v>
      </c>
      <c r="K499" s="161">
        <f>J499*I499</f>
        <v>2092.3309999999997</v>
      </c>
      <c r="L499" s="321"/>
    </row>
    <row r="500" spans="1:13" ht="15.75">
      <c r="A500" s="102"/>
      <c r="B500" s="105"/>
      <c r="C500" s="105"/>
      <c r="D500" s="321"/>
      <c r="E500" s="396"/>
      <c r="F500" s="105"/>
      <c r="G500" s="321"/>
      <c r="H500" s="104"/>
      <c r="I500" s="417"/>
      <c r="J500" s="108"/>
      <c r="K500" s="133"/>
      <c r="L500" s="321"/>
    </row>
    <row r="501" spans="1:13">
      <c r="B501" s="280" t="s">
        <v>13</v>
      </c>
      <c r="C501" s="281" t="s">
        <v>20</v>
      </c>
      <c r="D501" s="327"/>
      <c r="E501" s="401"/>
      <c r="F501" s="282"/>
      <c r="G501" s="327"/>
      <c r="H501" s="281"/>
      <c r="I501" s="420">
        <v>1</v>
      </c>
      <c r="J501" s="283">
        <v>961.28599999999983</v>
      </c>
      <c r="K501" s="284"/>
      <c r="L501" s="327" t="s">
        <v>1503</v>
      </c>
    </row>
    <row r="502" spans="1:13">
      <c r="B502" s="280"/>
      <c r="C502" s="97"/>
      <c r="D502" s="322" t="s">
        <v>20</v>
      </c>
      <c r="E502" s="380" t="s">
        <v>1311</v>
      </c>
      <c r="F502" s="264"/>
      <c r="H502" s="97" t="s">
        <v>1511</v>
      </c>
      <c r="I502" s="387">
        <v>1</v>
      </c>
      <c r="J502" s="99">
        <v>625</v>
      </c>
      <c r="L502" s="322" t="s">
        <v>1504</v>
      </c>
    </row>
    <row r="503" spans="1:13" s="333" customFormat="1" ht="15">
      <c r="A503" s="102"/>
      <c r="B503" s="280"/>
      <c r="C503" s="97"/>
      <c r="D503" s="347" t="s">
        <v>2215</v>
      </c>
      <c r="E503" s="380" t="s">
        <v>1302</v>
      </c>
      <c r="F503" s="264"/>
      <c r="G503" s="322"/>
      <c r="H503" s="97"/>
      <c r="I503" s="387">
        <v>1</v>
      </c>
      <c r="J503" s="99">
        <v>259.714</v>
      </c>
      <c r="K503" s="100"/>
      <c r="L503" s="322" t="s">
        <v>1505</v>
      </c>
      <c r="M503" s="367"/>
    </row>
    <row r="504" spans="1:13" s="333" customFormat="1" ht="26.25">
      <c r="A504" s="102"/>
      <c r="B504" s="280"/>
      <c r="C504" s="97"/>
      <c r="D504" s="322"/>
      <c r="E504" s="380"/>
      <c r="F504" s="264" t="s">
        <v>1305</v>
      </c>
      <c r="G504" s="322" t="s">
        <v>999</v>
      </c>
      <c r="H504" s="97"/>
      <c r="I504" s="387">
        <v>14</v>
      </c>
      <c r="J504" s="454">
        <v>3.74</v>
      </c>
      <c r="K504" s="455" t="s">
        <v>3433</v>
      </c>
      <c r="L504" s="322" t="s">
        <v>2216</v>
      </c>
      <c r="M504" s="367"/>
    </row>
    <row r="505" spans="1:13" s="333" customFormat="1" ht="15">
      <c r="A505" s="102"/>
      <c r="B505" s="280"/>
      <c r="C505" s="97"/>
      <c r="D505" s="322"/>
      <c r="E505" s="380"/>
      <c r="F505" s="264" t="s">
        <v>1317</v>
      </c>
      <c r="G505" s="322" t="s">
        <v>1025</v>
      </c>
      <c r="H505" s="97"/>
      <c r="I505" s="387">
        <v>1</v>
      </c>
      <c r="J505" s="99">
        <v>8.4179999999999993</v>
      </c>
      <c r="K505" s="100" t="s">
        <v>3463</v>
      </c>
      <c r="L505" s="322" t="s">
        <v>2217</v>
      </c>
      <c r="M505" s="367"/>
    </row>
    <row r="506" spans="1:13" s="333" customFormat="1" ht="15">
      <c r="A506" s="102"/>
      <c r="B506" s="280"/>
      <c r="C506" s="97"/>
      <c r="D506" s="322"/>
      <c r="E506" s="380"/>
      <c r="F506" s="264" t="s">
        <v>1317</v>
      </c>
      <c r="G506" s="322" t="s">
        <v>1206</v>
      </c>
      <c r="H506" s="97"/>
      <c r="I506" s="387">
        <v>1</v>
      </c>
      <c r="J506" s="99">
        <v>196</v>
      </c>
      <c r="K506" s="100"/>
      <c r="L506" s="322" t="s">
        <v>2218</v>
      </c>
      <c r="M506" s="367"/>
    </row>
    <row r="507" spans="1:13" s="333" customFormat="1" ht="15">
      <c r="A507" s="102"/>
      <c r="B507" s="280"/>
      <c r="C507" s="97"/>
      <c r="D507" s="322"/>
      <c r="E507" s="380"/>
      <c r="F507" s="264" t="s">
        <v>1317</v>
      </c>
      <c r="G507" s="322" t="s">
        <v>1157</v>
      </c>
      <c r="H507" s="97" t="s">
        <v>2277</v>
      </c>
      <c r="I507" s="387">
        <v>1</v>
      </c>
      <c r="J507" s="99">
        <v>1.1399999999999999</v>
      </c>
      <c r="K507" s="100" t="s">
        <v>3462</v>
      </c>
      <c r="L507" s="322" t="s">
        <v>2219</v>
      </c>
      <c r="M507" s="367"/>
    </row>
    <row r="508" spans="1:13" s="333" customFormat="1" ht="29.25">
      <c r="A508" s="102"/>
      <c r="B508" s="280"/>
      <c r="C508" s="97"/>
      <c r="D508" s="322"/>
      <c r="E508" s="380"/>
      <c r="F508" s="264" t="s">
        <v>1309</v>
      </c>
      <c r="G508" s="322" t="s">
        <v>1228</v>
      </c>
      <c r="H508" s="374" t="s">
        <v>3435</v>
      </c>
      <c r="I508" s="387">
        <v>2</v>
      </c>
      <c r="J508" s="392">
        <v>0.04</v>
      </c>
      <c r="K508" s="393" t="s">
        <v>3451</v>
      </c>
      <c r="L508" s="322" t="s">
        <v>2503</v>
      </c>
      <c r="M508" s="367"/>
    </row>
    <row r="509" spans="1:13" s="333" customFormat="1" ht="29.25">
      <c r="A509" s="102"/>
      <c r="B509" s="280"/>
      <c r="C509" s="97"/>
      <c r="D509" s="322"/>
      <c r="E509" s="380"/>
      <c r="F509" s="264" t="s">
        <v>1309</v>
      </c>
      <c r="G509" s="322" t="s">
        <v>1228</v>
      </c>
      <c r="H509" s="374" t="s">
        <v>3436</v>
      </c>
      <c r="I509" s="387">
        <v>4</v>
      </c>
      <c r="J509" s="392">
        <v>0.03</v>
      </c>
      <c r="K509" s="393" t="s">
        <v>3452</v>
      </c>
      <c r="L509" s="322" t="s">
        <v>2504</v>
      </c>
      <c r="M509" s="367"/>
    </row>
    <row r="510" spans="1:13" s="333" customFormat="1" ht="15">
      <c r="A510" s="102"/>
      <c r="B510" s="280"/>
      <c r="C510" s="97"/>
      <c r="D510" s="322"/>
      <c r="E510" s="380"/>
      <c r="F510" s="264" t="s">
        <v>1317</v>
      </c>
      <c r="G510" s="322" t="s">
        <v>1199</v>
      </c>
      <c r="H510" s="374" t="s">
        <v>3195</v>
      </c>
      <c r="I510" s="387">
        <v>2</v>
      </c>
      <c r="J510" s="99">
        <v>0.37</v>
      </c>
      <c r="K510" s="100"/>
      <c r="L510" s="322" t="s">
        <v>2509</v>
      </c>
      <c r="M510" s="367"/>
    </row>
    <row r="511" spans="1:13" s="333" customFormat="1" ht="15">
      <c r="A511" s="102"/>
      <c r="B511" s="280"/>
      <c r="C511" s="97"/>
      <c r="D511" s="322"/>
      <c r="E511" s="380"/>
      <c r="F511" s="264" t="s">
        <v>1317</v>
      </c>
      <c r="G511" s="322" t="s">
        <v>1199</v>
      </c>
      <c r="H511" s="374" t="s">
        <v>3196</v>
      </c>
      <c r="I511" s="387">
        <v>1</v>
      </c>
      <c r="J511" s="99">
        <v>0.37</v>
      </c>
      <c r="K511" s="100"/>
      <c r="L511" s="322" t="s">
        <v>2510</v>
      </c>
      <c r="M511" s="367"/>
    </row>
    <row r="512" spans="1:13" s="333" customFormat="1" ht="15">
      <c r="A512" s="102"/>
      <c r="B512" s="280"/>
      <c r="C512" s="97"/>
      <c r="D512" s="322"/>
      <c r="E512" s="380"/>
      <c r="F512" s="264" t="s">
        <v>1317</v>
      </c>
      <c r="G512" s="322" t="s">
        <v>1210</v>
      </c>
      <c r="H512" s="374"/>
      <c r="I512" s="387">
        <v>12</v>
      </c>
      <c r="J512" s="99">
        <v>3.3000000000000002E-2</v>
      </c>
      <c r="K512" s="100"/>
      <c r="L512" s="322" t="s">
        <v>2751</v>
      </c>
      <c r="M512" s="367"/>
    </row>
    <row r="513" spans="1:13" s="333" customFormat="1" ht="15">
      <c r="A513" s="102"/>
      <c r="B513" s="280"/>
      <c r="C513" s="97"/>
      <c r="D513" s="322"/>
      <c r="E513" s="380"/>
      <c r="F513" s="264" t="s">
        <v>1309</v>
      </c>
      <c r="G513" s="322" t="s">
        <v>1230</v>
      </c>
      <c r="H513" s="374" t="s">
        <v>2034</v>
      </c>
      <c r="I513" s="387">
        <v>6</v>
      </c>
      <c r="J513" s="99">
        <v>1.4999999999999999E-2</v>
      </c>
      <c r="K513" s="100" t="s">
        <v>3453</v>
      </c>
      <c r="L513" s="322" t="s">
        <v>2766</v>
      </c>
      <c r="M513" s="367"/>
    </row>
    <row r="514" spans="1:13" ht="15">
      <c r="A514" s="102"/>
      <c r="B514" s="280"/>
      <c r="C514" s="97"/>
      <c r="E514" s="380"/>
      <c r="F514" s="264" t="s">
        <v>1317</v>
      </c>
      <c r="G514" s="322" t="s">
        <v>1214</v>
      </c>
      <c r="H514" s="374"/>
      <c r="I514" s="387">
        <v>14</v>
      </c>
      <c r="J514" s="99">
        <v>0.19</v>
      </c>
      <c r="K514" s="100" t="s">
        <v>3745</v>
      </c>
      <c r="L514" s="322" t="s">
        <v>2999</v>
      </c>
    </row>
    <row r="515" spans="1:13" ht="15">
      <c r="A515" s="102"/>
      <c r="B515" s="280"/>
      <c r="C515" s="97"/>
      <c r="E515" s="380"/>
      <c r="F515" s="264" t="s">
        <v>1317</v>
      </c>
      <c r="G515" s="322" t="s">
        <v>1218</v>
      </c>
      <c r="H515" s="374"/>
      <c r="I515" s="387">
        <v>14</v>
      </c>
      <c r="J515" s="99">
        <v>0.47</v>
      </c>
      <c r="K515" s="100" t="s">
        <v>3745</v>
      </c>
      <c r="L515" s="322" t="s">
        <v>3002</v>
      </c>
    </row>
    <row r="516" spans="1:13" ht="15">
      <c r="A516" s="102"/>
      <c r="B516" s="280"/>
      <c r="C516" s="97"/>
      <c r="E516" s="380"/>
      <c r="F516" s="264" t="s">
        <v>1317</v>
      </c>
      <c r="G516" s="322" t="s">
        <v>1841</v>
      </c>
      <c r="H516" s="374" t="s">
        <v>4028</v>
      </c>
      <c r="I516" s="387">
        <v>1</v>
      </c>
      <c r="J516" s="99">
        <v>0.01</v>
      </c>
      <c r="K516" s="100" t="s">
        <v>4032</v>
      </c>
      <c r="L516" s="322" t="s">
        <v>4027</v>
      </c>
    </row>
    <row r="517" spans="1:13" ht="15">
      <c r="A517" s="102"/>
      <c r="B517" s="280"/>
      <c r="C517" s="97"/>
      <c r="E517" s="380"/>
      <c r="F517" s="264" t="s">
        <v>1305</v>
      </c>
      <c r="G517" s="322" t="s">
        <v>1008</v>
      </c>
      <c r="H517" s="374" t="s">
        <v>4031</v>
      </c>
      <c r="I517" s="387">
        <v>1</v>
      </c>
      <c r="J517" s="99">
        <v>1.04</v>
      </c>
      <c r="K517" s="100" t="s">
        <v>4030</v>
      </c>
      <c r="L517" s="322" t="s">
        <v>4029</v>
      </c>
    </row>
    <row r="518" spans="1:13" ht="15">
      <c r="A518" s="102"/>
      <c r="B518" s="280"/>
      <c r="C518" s="97"/>
      <c r="D518" s="322" t="s">
        <v>1506</v>
      </c>
      <c r="E518" s="380" t="s">
        <v>1311</v>
      </c>
      <c r="F518" s="264"/>
      <c r="I518" s="387">
        <v>4</v>
      </c>
      <c r="J518" s="392">
        <v>4.68</v>
      </c>
      <c r="K518" s="393" t="s">
        <v>3454</v>
      </c>
      <c r="L518" s="322" t="s">
        <v>1507</v>
      </c>
    </row>
    <row r="519" spans="1:13" ht="28.5">
      <c r="A519" s="102"/>
      <c r="B519" s="280"/>
      <c r="C519" s="97"/>
      <c r="D519" s="347" t="s">
        <v>1721</v>
      </c>
      <c r="E519" s="380" t="s">
        <v>1311</v>
      </c>
      <c r="F519" s="264"/>
      <c r="I519" s="387">
        <v>4</v>
      </c>
      <c r="J519" s="392">
        <v>2.81</v>
      </c>
      <c r="K519" s="393" t="s">
        <v>3455</v>
      </c>
      <c r="L519" s="322" t="s">
        <v>1508</v>
      </c>
    </row>
    <row r="520" spans="1:13" ht="15">
      <c r="A520" s="102"/>
      <c r="B520" s="280"/>
      <c r="C520" s="97"/>
      <c r="D520" s="322" t="s">
        <v>1522</v>
      </c>
      <c r="E520" s="380" t="s">
        <v>1302</v>
      </c>
      <c r="F520" s="264"/>
      <c r="I520" s="387">
        <v>2</v>
      </c>
      <c r="J520" s="99">
        <v>2.16</v>
      </c>
      <c r="L520" s="322" t="s">
        <v>1509</v>
      </c>
    </row>
    <row r="521" spans="1:13" ht="15">
      <c r="A521" s="102"/>
      <c r="B521" s="280"/>
      <c r="C521" s="97"/>
      <c r="E521" s="380"/>
      <c r="F521" s="264" t="s">
        <v>1305</v>
      </c>
      <c r="G521" s="322" t="s">
        <v>1009</v>
      </c>
      <c r="H521" s="97" t="s">
        <v>3437</v>
      </c>
      <c r="I521" s="387">
        <v>1</v>
      </c>
      <c r="J521" s="99">
        <v>1.05</v>
      </c>
      <c r="K521" s="100" t="s">
        <v>3456</v>
      </c>
      <c r="L521" s="322" t="s">
        <v>1759</v>
      </c>
    </row>
    <row r="522" spans="1:13" ht="15">
      <c r="A522" s="102"/>
      <c r="B522" s="280"/>
      <c r="C522" s="97"/>
      <c r="E522" s="380"/>
      <c r="F522" s="264" t="s">
        <v>1317</v>
      </c>
      <c r="G522" s="322" t="s">
        <v>1180</v>
      </c>
      <c r="I522" s="387">
        <v>1</v>
      </c>
      <c r="K522" s="100" t="s">
        <v>3440</v>
      </c>
      <c r="L522" s="322" t="s">
        <v>1760</v>
      </c>
    </row>
    <row r="523" spans="1:13" ht="28.5">
      <c r="A523" s="102"/>
      <c r="B523" s="280"/>
      <c r="C523" s="97"/>
      <c r="E523" s="380"/>
      <c r="F523" s="380" t="s">
        <v>1317</v>
      </c>
      <c r="G523" s="322" t="s">
        <v>1199</v>
      </c>
      <c r="H523" s="347" t="s">
        <v>3198</v>
      </c>
      <c r="I523" s="387">
        <v>2</v>
      </c>
      <c r="J523" s="99">
        <v>0.37</v>
      </c>
      <c r="K523" s="393"/>
      <c r="L523" s="322" t="s">
        <v>2752</v>
      </c>
    </row>
    <row r="524" spans="1:13" ht="15">
      <c r="A524" s="102"/>
      <c r="B524" s="280"/>
      <c r="C524" s="97"/>
      <c r="E524" s="380"/>
      <c r="F524" s="380" t="s">
        <v>1317</v>
      </c>
      <c r="G524" s="322" t="s">
        <v>1199</v>
      </c>
      <c r="H524" s="347" t="s">
        <v>3439</v>
      </c>
      <c r="I524" s="387">
        <v>1</v>
      </c>
      <c r="J524" s="99">
        <v>0.37</v>
      </c>
      <c r="L524" s="322" t="s">
        <v>3438</v>
      </c>
    </row>
    <row r="525" spans="1:13" ht="15">
      <c r="A525" s="102"/>
      <c r="B525" s="280"/>
      <c r="C525" s="97"/>
      <c r="D525" s="322" t="s">
        <v>2220</v>
      </c>
      <c r="E525" s="380" t="s">
        <v>1311</v>
      </c>
      <c r="F525" s="264"/>
      <c r="I525" s="387">
        <v>1</v>
      </c>
      <c r="J525" s="99">
        <v>6.55</v>
      </c>
      <c r="K525" s="100" t="s">
        <v>3441</v>
      </c>
      <c r="L525" s="322" t="s">
        <v>2221</v>
      </c>
    </row>
    <row r="526" spans="1:13" ht="28.5">
      <c r="A526" s="102"/>
      <c r="B526" s="280"/>
      <c r="C526" s="97"/>
      <c r="D526" s="347" t="s">
        <v>2223</v>
      </c>
      <c r="E526" s="380" t="s">
        <v>1311</v>
      </c>
      <c r="F526" s="264"/>
      <c r="I526" s="387">
        <v>1</v>
      </c>
      <c r="J526" s="392">
        <v>5.61</v>
      </c>
      <c r="K526" s="393" t="s">
        <v>3442</v>
      </c>
      <c r="L526" s="322" t="s">
        <v>2222</v>
      </c>
    </row>
    <row r="527" spans="1:13" ht="15">
      <c r="A527" s="102"/>
      <c r="B527" s="280"/>
      <c r="C527" s="97"/>
      <c r="D527" s="347" t="s">
        <v>2224</v>
      </c>
      <c r="E527" s="380" t="s">
        <v>1311</v>
      </c>
      <c r="F527" s="264"/>
      <c r="H527" s="97" t="s">
        <v>2225</v>
      </c>
      <c r="I527" s="387">
        <v>1</v>
      </c>
      <c r="J527" s="99">
        <v>13.1</v>
      </c>
      <c r="K527" s="100" t="s">
        <v>3443</v>
      </c>
      <c r="L527" s="322" t="s">
        <v>2226</v>
      </c>
    </row>
    <row r="528" spans="1:13" ht="15">
      <c r="A528" s="102"/>
      <c r="B528" s="280"/>
      <c r="C528" s="97"/>
      <c r="D528" s="347" t="s">
        <v>2227</v>
      </c>
      <c r="E528" s="380" t="s">
        <v>1311</v>
      </c>
      <c r="F528" s="264"/>
      <c r="I528" s="387">
        <v>1</v>
      </c>
      <c r="J528" s="99">
        <v>2.06</v>
      </c>
      <c r="K528" s="100" t="s">
        <v>3444</v>
      </c>
      <c r="L528" s="322" t="s">
        <v>2228</v>
      </c>
    </row>
    <row r="529" spans="1:12" ht="28.5">
      <c r="A529" s="102"/>
      <c r="B529" s="280"/>
      <c r="C529" s="97"/>
      <c r="D529" s="347" t="s">
        <v>2230</v>
      </c>
      <c r="E529" s="380" t="s">
        <v>1302</v>
      </c>
      <c r="F529" s="264"/>
      <c r="H529" s="374"/>
      <c r="I529" s="387">
        <v>1</v>
      </c>
      <c r="J529" s="99">
        <v>2.1800000000000002</v>
      </c>
      <c r="L529" s="322" t="s">
        <v>2231</v>
      </c>
    </row>
    <row r="530" spans="1:12" ht="15">
      <c r="A530" s="102"/>
      <c r="B530" s="280"/>
      <c r="C530" s="97"/>
      <c r="D530" s="347"/>
      <c r="E530" s="380"/>
      <c r="F530" s="264" t="s">
        <v>1305</v>
      </c>
      <c r="G530" s="322" t="s">
        <v>1007</v>
      </c>
      <c r="H530" s="374" t="s">
        <v>3445</v>
      </c>
      <c r="I530" s="387">
        <v>1</v>
      </c>
      <c r="J530" s="99">
        <v>0.17</v>
      </c>
      <c r="K530" s="100" t="s">
        <v>3449</v>
      </c>
      <c r="L530" s="322" t="s">
        <v>2232</v>
      </c>
    </row>
    <row r="531" spans="1:12" ht="15">
      <c r="A531" s="102"/>
      <c r="B531" s="280"/>
      <c r="C531" s="97"/>
      <c r="D531" s="347"/>
      <c r="E531" s="380"/>
      <c r="F531" s="264" t="s">
        <v>1317</v>
      </c>
      <c r="G531" s="322" t="s">
        <v>1156</v>
      </c>
      <c r="H531" s="374"/>
      <c r="I531" s="387">
        <v>1</v>
      </c>
      <c r="J531" s="99">
        <v>0.36</v>
      </c>
      <c r="K531" s="100" t="s">
        <v>3446</v>
      </c>
      <c r="L531" s="322" t="s">
        <v>2233</v>
      </c>
    </row>
    <row r="532" spans="1:12" ht="15">
      <c r="A532" s="102"/>
      <c r="B532" s="280"/>
      <c r="C532" s="97"/>
      <c r="D532" s="347"/>
      <c r="E532" s="380"/>
      <c r="F532" s="264" t="s">
        <v>1317</v>
      </c>
      <c r="G532" s="322" t="s">
        <v>1199</v>
      </c>
      <c r="H532" s="374" t="s">
        <v>3197</v>
      </c>
      <c r="I532" s="387">
        <v>1</v>
      </c>
      <c r="J532" s="99">
        <v>0.37</v>
      </c>
      <c r="L532" s="322" t="s">
        <v>2234</v>
      </c>
    </row>
    <row r="533" spans="1:12" ht="15">
      <c r="A533" s="102"/>
      <c r="B533" s="280"/>
      <c r="C533" s="97"/>
      <c r="D533" s="347"/>
      <c r="E533" s="380"/>
      <c r="F533" s="264" t="s">
        <v>1317</v>
      </c>
      <c r="G533" s="322" t="s">
        <v>1199</v>
      </c>
      <c r="H533" s="374" t="s">
        <v>2242</v>
      </c>
      <c r="I533" s="387">
        <v>2</v>
      </c>
      <c r="J533" s="99">
        <v>0.65</v>
      </c>
      <c r="L533" s="322" t="s">
        <v>2243</v>
      </c>
    </row>
    <row r="534" spans="1:12" ht="28.5">
      <c r="A534" s="102"/>
      <c r="B534" s="280"/>
      <c r="C534" s="97"/>
      <c r="D534" s="347" t="s">
        <v>2235</v>
      </c>
      <c r="E534" s="380" t="s">
        <v>1302</v>
      </c>
      <c r="F534" s="264"/>
      <c r="H534" s="374"/>
      <c r="I534" s="387">
        <v>1</v>
      </c>
      <c r="J534" s="99">
        <v>1.44</v>
      </c>
      <c r="L534" s="322" t="s">
        <v>2236</v>
      </c>
    </row>
    <row r="535" spans="1:12" ht="15">
      <c r="A535" s="102"/>
      <c r="B535" s="280"/>
      <c r="C535" s="97"/>
      <c r="D535" s="347"/>
      <c r="E535" s="380"/>
      <c r="F535" s="264" t="s">
        <v>1305</v>
      </c>
      <c r="G535" s="322" t="s">
        <v>1007</v>
      </c>
      <c r="H535" s="374" t="s">
        <v>3445</v>
      </c>
      <c r="I535" s="387">
        <v>1</v>
      </c>
      <c r="J535" s="99">
        <v>6.7000000000000004E-2</v>
      </c>
      <c r="K535" s="100" t="s">
        <v>3448</v>
      </c>
      <c r="L535" s="322" t="s">
        <v>2237</v>
      </c>
    </row>
    <row r="536" spans="1:12" ht="15">
      <c r="A536" s="102"/>
      <c r="B536" s="280"/>
      <c r="C536" s="97"/>
      <c r="D536" s="347"/>
      <c r="E536" s="380"/>
      <c r="F536" s="264" t="s">
        <v>1317</v>
      </c>
      <c r="G536" s="322" t="s">
        <v>1156</v>
      </c>
      <c r="H536" s="374"/>
      <c r="I536" s="387">
        <v>1</v>
      </c>
      <c r="J536" s="99">
        <v>0.36</v>
      </c>
      <c r="K536" s="100" t="s">
        <v>3447</v>
      </c>
      <c r="L536" s="322" t="s">
        <v>2238</v>
      </c>
    </row>
    <row r="537" spans="1:12" ht="15">
      <c r="A537" s="102"/>
      <c r="B537" s="280"/>
      <c r="C537" s="97"/>
      <c r="D537" s="347"/>
      <c r="E537" s="380"/>
      <c r="F537" s="264" t="s">
        <v>1317</v>
      </c>
      <c r="G537" s="322" t="s">
        <v>1199</v>
      </c>
      <c r="H537" s="374" t="s">
        <v>3199</v>
      </c>
      <c r="I537" s="387">
        <v>1</v>
      </c>
      <c r="J537" s="99">
        <v>0.37</v>
      </c>
      <c r="L537" s="322" t="s">
        <v>2239</v>
      </c>
    </row>
    <row r="538" spans="1:12" ht="15">
      <c r="A538" s="102"/>
      <c r="B538" s="280"/>
      <c r="C538" s="97"/>
      <c r="D538" s="347"/>
      <c r="E538" s="380"/>
      <c r="F538" s="264" t="s">
        <v>1317</v>
      </c>
      <c r="G538" s="322" t="s">
        <v>1199</v>
      </c>
      <c r="H538" s="374" t="s">
        <v>3200</v>
      </c>
      <c r="I538" s="387">
        <v>1</v>
      </c>
      <c r="J538" s="99">
        <v>0.65</v>
      </c>
      <c r="L538" s="322" t="s">
        <v>2244</v>
      </c>
    </row>
    <row r="539" spans="1:12" ht="15">
      <c r="A539" s="102"/>
      <c r="B539" s="280"/>
      <c r="C539" s="97"/>
      <c r="D539" s="347" t="s">
        <v>1512</v>
      </c>
      <c r="E539" s="380" t="s">
        <v>1311</v>
      </c>
      <c r="F539" s="264"/>
      <c r="H539" s="374" t="s">
        <v>2240</v>
      </c>
      <c r="I539" s="387">
        <v>3</v>
      </c>
      <c r="J539" s="392">
        <v>1.44</v>
      </c>
      <c r="K539" s="460">
        <v>8</v>
      </c>
      <c r="L539" s="322" t="s">
        <v>2241</v>
      </c>
    </row>
    <row r="540" spans="1:12" ht="28.5">
      <c r="A540" s="102"/>
      <c r="B540" s="280"/>
      <c r="C540" s="97"/>
      <c r="D540" s="347" t="s">
        <v>2511</v>
      </c>
      <c r="E540" s="380" t="s">
        <v>1302</v>
      </c>
      <c r="F540" s="264"/>
      <c r="H540" s="374"/>
      <c r="I540" s="387">
        <v>1</v>
      </c>
      <c r="J540" s="99">
        <v>2.5449999999999999</v>
      </c>
      <c r="L540" s="322" t="s">
        <v>2512</v>
      </c>
    </row>
    <row r="541" spans="1:12" ht="15">
      <c r="A541" s="102"/>
      <c r="B541" s="280"/>
      <c r="C541" s="97"/>
      <c r="D541" s="347"/>
      <c r="E541" s="380"/>
      <c r="F541" s="264" t="s">
        <v>1305</v>
      </c>
      <c r="G541" s="322" t="s">
        <v>1007</v>
      </c>
      <c r="H541" s="374" t="s">
        <v>3465</v>
      </c>
      <c r="I541" s="387">
        <v>1</v>
      </c>
      <c r="J541" s="99">
        <v>0.13500000000000001</v>
      </c>
      <c r="K541" s="100" t="s">
        <v>3464</v>
      </c>
      <c r="L541" s="322" t="s">
        <v>2513</v>
      </c>
    </row>
    <row r="542" spans="1:12" ht="15">
      <c r="A542" s="102"/>
      <c r="B542" s="280"/>
      <c r="C542" s="97"/>
      <c r="D542" s="347"/>
      <c r="E542" s="380"/>
      <c r="F542" s="264" t="s">
        <v>1317</v>
      </c>
      <c r="G542" s="322" t="s">
        <v>1156</v>
      </c>
      <c r="H542" s="374"/>
      <c r="I542" s="387">
        <v>1</v>
      </c>
      <c r="L542" s="322" t="s">
        <v>2514</v>
      </c>
    </row>
    <row r="543" spans="1:12" ht="15">
      <c r="A543" s="102"/>
      <c r="B543" s="280"/>
      <c r="C543" s="97"/>
      <c r="D543" s="347"/>
      <c r="E543" s="380"/>
      <c r="F543" s="264" t="s">
        <v>1317</v>
      </c>
      <c r="G543" s="322" t="s">
        <v>1711</v>
      </c>
      <c r="H543" s="374" t="s">
        <v>2515</v>
      </c>
      <c r="I543" s="387">
        <v>2</v>
      </c>
      <c r="J543" s="99">
        <v>0.56000000000000005</v>
      </c>
      <c r="L543" s="322" t="s">
        <v>2516</v>
      </c>
    </row>
    <row r="544" spans="1:12" ht="15">
      <c r="A544" s="102"/>
      <c r="B544" s="280"/>
      <c r="C544" s="97"/>
      <c r="D544" s="347"/>
      <c r="E544" s="380"/>
      <c r="F544" s="264" t="s">
        <v>1309</v>
      </c>
      <c r="G544" s="322" t="s">
        <v>1228</v>
      </c>
      <c r="H544" s="374" t="s">
        <v>2505</v>
      </c>
      <c r="I544" s="387">
        <v>4</v>
      </c>
      <c r="J544" s="99">
        <v>0.04</v>
      </c>
      <c r="L544" s="322" t="s">
        <v>2517</v>
      </c>
    </row>
    <row r="545" spans="1:12" ht="15">
      <c r="A545" s="102"/>
      <c r="B545" s="280"/>
      <c r="C545" s="97"/>
      <c r="D545" s="347"/>
      <c r="E545" s="380"/>
      <c r="F545" s="264" t="s">
        <v>1317</v>
      </c>
      <c r="G545" s="322" t="s">
        <v>1199</v>
      </c>
      <c r="H545" s="374" t="s">
        <v>3201</v>
      </c>
      <c r="I545" s="387">
        <v>1</v>
      </c>
      <c r="J545" s="99">
        <v>0.65</v>
      </c>
      <c r="L545" s="322" t="s">
        <v>2518</v>
      </c>
    </row>
    <row r="546" spans="1:12" ht="15">
      <c r="A546" s="102"/>
      <c r="B546" s="280"/>
      <c r="C546" s="97"/>
      <c r="D546" s="347"/>
      <c r="E546" s="380"/>
      <c r="F546" s="264" t="s">
        <v>1317</v>
      </c>
      <c r="G546" s="322" t="s">
        <v>1210</v>
      </c>
      <c r="H546" s="374"/>
      <c r="I546" s="387">
        <v>12</v>
      </c>
      <c r="J546" s="99">
        <v>0.03</v>
      </c>
      <c r="L546" s="322" t="s">
        <v>2519</v>
      </c>
    </row>
    <row r="547" spans="1:12" ht="15">
      <c r="A547" s="102"/>
      <c r="B547" s="280"/>
      <c r="C547" s="97"/>
      <c r="D547" s="347"/>
      <c r="E547" s="380"/>
      <c r="F547" s="264" t="s">
        <v>1309</v>
      </c>
      <c r="G547" s="322" t="s">
        <v>1230</v>
      </c>
      <c r="H547" s="374" t="s">
        <v>2034</v>
      </c>
      <c r="I547" s="387">
        <v>4</v>
      </c>
      <c r="J547" s="99">
        <v>0.02</v>
      </c>
      <c r="L547" s="322" t="s">
        <v>2906</v>
      </c>
    </row>
    <row r="548" spans="1:12" ht="15">
      <c r="A548" s="102"/>
      <c r="B548" s="280"/>
      <c r="C548" s="97"/>
      <c r="D548" s="347"/>
      <c r="E548" s="380"/>
      <c r="F548" s="264" t="s">
        <v>1309</v>
      </c>
      <c r="G548" s="322" t="s">
        <v>1235</v>
      </c>
      <c r="H548" s="374" t="s">
        <v>2034</v>
      </c>
      <c r="I548" s="387">
        <v>4</v>
      </c>
      <c r="J548" s="99">
        <v>0.01</v>
      </c>
      <c r="L548" s="322" t="s">
        <v>2907</v>
      </c>
    </row>
    <row r="549" spans="1:12" ht="15">
      <c r="A549" s="102"/>
      <c r="B549" s="280"/>
      <c r="C549" s="97"/>
      <c r="D549" s="347" t="s">
        <v>1512</v>
      </c>
      <c r="E549" s="380" t="s">
        <v>1311</v>
      </c>
      <c r="F549" s="264"/>
      <c r="H549" s="374" t="s">
        <v>3746</v>
      </c>
      <c r="I549" s="387">
        <v>1</v>
      </c>
      <c r="J549" s="99">
        <v>1.02</v>
      </c>
      <c r="K549" s="100" t="s">
        <v>3450</v>
      </c>
      <c r="L549" s="322" t="s">
        <v>2676</v>
      </c>
    </row>
    <row r="550" spans="1:12" ht="28.5">
      <c r="A550" s="102"/>
      <c r="B550" s="280"/>
      <c r="C550" s="97"/>
      <c r="D550" s="347" t="s">
        <v>2756</v>
      </c>
      <c r="E550" s="380" t="s">
        <v>1302</v>
      </c>
      <c r="F550" s="264"/>
      <c r="H550" s="374"/>
      <c r="I550" s="387">
        <v>1</v>
      </c>
      <c r="J550" s="99">
        <v>2.52</v>
      </c>
      <c r="L550" s="322" t="s">
        <v>2753</v>
      </c>
    </row>
    <row r="551" spans="1:12" ht="15">
      <c r="A551" s="102"/>
      <c r="B551" s="280"/>
      <c r="C551" s="97"/>
      <c r="D551" s="347"/>
      <c r="E551" s="380"/>
      <c r="F551" s="264" t="s">
        <v>1309</v>
      </c>
      <c r="G551" s="322" t="s">
        <v>1228</v>
      </c>
      <c r="H551" s="374" t="s">
        <v>2505</v>
      </c>
      <c r="I551" s="387">
        <v>4</v>
      </c>
      <c r="J551" s="99">
        <v>0.04</v>
      </c>
      <c r="K551" s="100" t="s">
        <v>3451</v>
      </c>
      <c r="L551" s="322" t="s">
        <v>2754</v>
      </c>
    </row>
    <row r="552" spans="1:12" ht="15">
      <c r="A552" s="102"/>
      <c r="B552" s="280"/>
      <c r="C552" s="97"/>
      <c r="D552" s="347"/>
      <c r="E552" s="380"/>
      <c r="F552" s="264" t="s">
        <v>1309</v>
      </c>
      <c r="G552" s="322" t="s">
        <v>1230</v>
      </c>
      <c r="H552" s="374" t="s">
        <v>2034</v>
      </c>
      <c r="I552" s="387">
        <v>4</v>
      </c>
      <c r="J552" s="99">
        <v>0.02</v>
      </c>
      <c r="L552" s="322" t="s">
        <v>2755</v>
      </c>
    </row>
    <row r="553" spans="1:12" ht="15">
      <c r="A553" s="102"/>
      <c r="B553" s="280"/>
      <c r="C553" s="97"/>
      <c r="D553" s="347"/>
      <c r="E553" s="380"/>
      <c r="F553" s="264" t="s">
        <v>1317</v>
      </c>
      <c r="G553" s="322" t="s">
        <v>1210</v>
      </c>
      <c r="H553" s="374"/>
      <c r="I553" s="387">
        <v>8</v>
      </c>
      <c r="J553" s="99">
        <v>0.03</v>
      </c>
      <c r="L553" s="322" t="s">
        <v>2757</v>
      </c>
    </row>
    <row r="554" spans="1:12" ht="15">
      <c r="A554" s="102"/>
      <c r="B554" s="391"/>
      <c r="C554" s="322"/>
      <c r="D554" s="347"/>
      <c r="E554" s="380"/>
      <c r="F554" s="380" t="s">
        <v>1317</v>
      </c>
      <c r="G554" s="322" t="s">
        <v>1199</v>
      </c>
      <c r="H554" s="347" t="s">
        <v>3202</v>
      </c>
      <c r="I554" s="387">
        <v>1</v>
      </c>
      <c r="J554" s="392">
        <v>0.37</v>
      </c>
      <c r="K554" s="393"/>
      <c r="L554" s="322" t="s">
        <v>2758</v>
      </c>
    </row>
    <row r="555" spans="1:12" ht="28.5">
      <c r="A555" s="102"/>
      <c r="B555" s="391"/>
      <c r="C555" s="322"/>
      <c r="D555" s="347"/>
      <c r="E555" s="380"/>
      <c r="F555" s="380" t="s">
        <v>1317</v>
      </c>
      <c r="G555" s="322" t="s">
        <v>1199</v>
      </c>
      <c r="H555" s="347" t="s">
        <v>3203</v>
      </c>
      <c r="I555" s="387">
        <v>1</v>
      </c>
      <c r="J555" s="392">
        <v>0.37</v>
      </c>
      <c r="K555" s="393"/>
      <c r="L555" s="322" t="s">
        <v>2759</v>
      </c>
    </row>
    <row r="556" spans="1:12" ht="15">
      <c r="A556" s="102"/>
      <c r="B556" s="391"/>
      <c r="C556" s="322"/>
      <c r="D556" s="347"/>
      <c r="E556" s="380"/>
      <c r="F556" s="380" t="s">
        <v>1317</v>
      </c>
      <c r="G556" s="322" t="s">
        <v>1200</v>
      </c>
      <c r="H556" s="347" t="s">
        <v>3154</v>
      </c>
      <c r="I556" s="387">
        <v>2</v>
      </c>
      <c r="J556" s="392">
        <v>0.65</v>
      </c>
      <c r="K556" s="393"/>
      <c r="L556" s="322" t="s">
        <v>3155</v>
      </c>
    </row>
    <row r="557" spans="1:12" ht="15.75">
      <c r="A557" s="102"/>
      <c r="B557" s="105"/>
      <c r="C557" s="105"/>
      <c r="D557" s="321"/>
      <c r="E557" s="396"/>
      <c r="F557" s="105"/>
      <c r="G557" s="321"/>
      <c r="H557" s="104"/>
      <c r="I557" s="417"/>
      <c r="J557" s="108"/>
      <c r="K557" s="133"/>
      <c r="L557" s="321"/>
    </row>
    <row r="558" spans="1:12">
      <c r="B558" s="280" t="s">
        <v>13</v>
      </c>
      <c r="C558" s="281" t="s">
        <v>81</v>
      </c>
      <c r="D558" s="327"/>
      <c r="E558" s="401"/>
      <c r="F558" s="282"/>
      <c r="G558" s="327"/>
      <c r="H558" s="281"/>
      <c r="I558" s="420">
        <v>1</v>
      </c>
      <c r="J558" s="283">
        <v>224.33500000000001</v>
      </c>
      <c r="K558" s="284"/>
      <c r="L558" s="327" t="s">
        <v>1514</v>
      </c>
    </row>
    <row r="559" spans="1:12">
      <c r="B559" s="280"/>
      <c r="C559" s="97"/>
      <c r="D559" s="322" t="s">
        <v>1513</v>
      </c>
      <c r="E559" s="380" t="s">
        <v>1302</v>
      </c>
      <c r="F559" s="264"/>
      <c r="H559" s="97" t="s">
        <v>3434</v>
      </c>
      <c r="I559" s="387">
        <v>1</v>
      </c>
      <c r="J559" s="99">
        <v>4.9090000000000007</v>
      </c>
      <c r="K559" s="100" t="s">
        <v>3948</v>
      </c>
      <c r="L559" s="322" t="s">
        <v>1515</v>
      </c>
    </row>
    <row r="560" spans="1:12">
      <c r="B560" s="280"/>
      <c r="C560" s="97"/>
      <c r="E560" s="380"/>
      <c r="F560" s="264" t="s">
        <v>1305</v>
      </c>
      <c r="G560" s="322" t="s">
        <v>1492</v>
      </c>
      <c r="I560" s="387">
        <v>1</v>
      </c>
      <c r="J560" s="99">
        <v>1.0880000000000001</v>
      </c>
      <c r="K560" s="100" t="s">
        <v>3461</v>
      </c>
      <c r="L560" s="322" t="s">
        <v>1516</v>
      </c>
    </row>
    <row r="561" spans="1:12">
      <c r="B561" s="280"/>
      <c r="C561" s="97"/>
      <c r="E561" s="380"/>
      <c r="F561" s="264" t="s">
        <v>1317</v>
      </c>
      <c r="G561" s="322" t="s">
        <v>1924</v>
      </c>
      <c r="I561" s="387">
        <v>2</v>
      </c>
      <c r="J561" s="99">
        <v>0.187</v>
      </c>
      <c r="L561" s="322" t="s">
        <v>1517</v>
      </c>
    </row>
    <row r="562" spans="1:12">
      <c r="B562" s="280"/>
      <c r="C562" s="97"/>
      <c r="E562" s="380"/>
      <c r="F562" s="264" t="s">
        <v>1317</v>
      </c>
      <c r="G562" s="322" t="s">
        <v>941</v>
      </c>
      <c r="H562" s="97" t="s">
        <v>3204</v>
      </c>
      <c r="I562" s="387">
        <v>1</v>
      </c>
      <c r="J562" s="99">
        <v>2.7970000000000002</v>
      </c>
      <c r="K562" s="100" t="s">
        <v>3466</v>
      </c>
      <c r="L562" s="322" t="s">
        <v>2677</v>
      </c>
    </row>
    <row r="563" spans="1:12">
      <c r="B563" s="280"/>
      <c r="C563" s="97"/>
      <c r="E563" s="380"/>
      <c r="F563" s="264" t="s">
        <v>1317</v>
      </c>
      <c r="G563" s="322" t="s">
        <v>1199</v>
      </c>
      <c r="H563" s="97" t="s">
        <v>3413</v>
      </c>
      <c r="I563" s="387">
        <v>1</v>
      </c>
      <c r="J563" s="99">
        <v>0.65</v>
      </c>
      <c r="L563" s="322" t="s">
        <v>3414</v>
      </c>
    </row>
    <row r="564" spans="1:12" ht="43.5">
      <c r="A564" s="102"/>
      <c r="B564" s="280"/>
      <c r="C564" s="97"/>
      <c r="D564" s="322" t="s">
        <v>1925</v>
      </c>
      <c r="E564" s="380" t="s">
        <v>1302</v>
      </c>
      <c r="F564" s="264"/>
      <c r="H564" s="374" t="s">
        <v>2688</v>
      </c>
      <c r="I564" s="387">
        <v>1</v>
      </c>
      <c r="J564" s="392">
        <v>12.95</v>
      </c>
      <c r="K564" s="393"/>
      <c r="L564" s="322" t="s">
        <v>1926</v>
      </c>
    </row>
    <row r="565" spans="1:12" ht="29.25">
      <c r="A565" s="102"/>
      <c r="B565" s="280"/>
      <c r="C565" s="97"/>
      <c r="E565" s="380"/>
      <c r="F565" s="264" t="s">
        <v>1305</v>
      </c>
      <c r="G565" s="322" t="s">
        <v>1009</v>
      </c>
      <c r="H565" s="374" t="s">
        <v>2682</v>
      </c>
      <c r="I565" s="387">
        <v>1</v>
      </c>
      <c r="J565" s="392">
        <v>12.95</v>
      </c>
      <c r="K565" s="393" t="s">
        <v>3484</v>
      </c>
      <c r="L565" s="322" t="s">
        <v>2679</v>
      </c>
    </row>
    <row r="566" spans="1:12" ht="29.25">
      <c r="A566" s="102"/>
      <c r="B566" s="280"/>
      <c r="C566" s="97"/>
      <c r="D566" s="322" t="s">
        <v>1927</v>
      </c>
      <c r="E566" s="380" t="s">
        <v>1302</v>
      </c>
      <c r="F566" s="264"/>
      <c r="H566" s="374" t="s">
        <v>2689</v>
      </c>
      <c r="I566" s="387">
        <v>1</v>
      </c>
      <c r="J566" s="392">
        <v>16.350000000000001</v>
      </c>
      <c r="K566" s="393"/>
      <c r="L566" s="322" t="s">
        <v>1928</v>
      </c>
    </row>
    <row r="567" spans="1:12" ht="29.25">
      <c r="A567" s="102"/>
      <c r="B567" s="280"/>
      <c r="C567" s="97"/>
      <c r="E567" s="380"/>
      <c r="F567" s="380" t="s">
        <v>1305</v>
      </c>
      <c r="G567" s="322" t="s">
        <v>1009</v>
      </c>
      <c r="H567" s="374" t="s">
        <v>2683</v>
      </c>
      <c r="I567" s="387">
        <v>1</v>
      </c>
      <c r="J567" s="392">
        <v>16.350000000000001</v>
      </c>
      <c r="K567" s="393" t="s">
        <v>3471</v>
      </c>
      <c r="L567" s="322" t="s">
        <v>2680</v>
      </c>
    </row>
    <row r="568" spans="1:12" ht="15">
      <c r="A568" s="102"/>
      <c r="B568" s="280"/>
      <c r="C568" s="97"/>
      <c r="D568" s="322" t="s">
        <v>1930</v>
      </c>
      <c r="E568" s="380" t="s">
        <v>1302</v>
      </c>
      <c r="F568" s="264"/>
      <c r="H568" s="374" t="s">
        <v>2690</v>
      </c>
      <c r="I568" s="387">
        <v>1</v>
      </c>
      <c r="J568" s="392">
        <v>7.97</v>
      </c>
      <c r="K568" s="393"/>
      <c r="L568" s="322" t="s">
        <v>1931</v>
      </c>
    </row>
    <row r="569" spans="1:12" ht="29.25">
      <c r="A569" s="102"/>
      <c r="B569" s="280"/>
      <c r="C569" s="97"/>
      <c r="E569" s="380"/>
      <c r="F569" s="380" t="s">
        <v>1305</v>
      </c>
      <c r="G569" s="322" t="s">
        <v>1009</v>
      </c>
      <c r="H569" s="374" t="s">
        <v>2684</v>
      </c>
      <c r="I569" s="387">
        <v>1</v>
      </c>
      <c r="J569" s="392">
        <v>7.97</v>
      </c>
      <c r="K569" s="393" t="s">
        <v>3470</v>
      </c>
      <c r="L569" s="322" t="s">
        <v>2681</v>
      </c>
    </row>
    <row r="570" spans="1:12" ht="15">
      <c r="A570" s="102"/>
      <c r="B570" s="280"/>
      <c r="C570" s="97"/>
      <c r="E570" s="380"/>
      <c r="F570" s="264" t="s">
        <v>1317</v>
      </c>
      <c r="G570" s="322" t="s">
        <v>1711</v>
      </c>
      <c r="H570" s="374" t="s">
        <v>2686</v>
      </c>
      <c r="I570" s="387">
        <v>1</v>
      </c>
      <c r="J570" s="392"/>
      <c r="K570" s="393"/>
      <c r="L570" s="322" t="s">
        <v>2685</v>
      </c>
    </row>
    <row r="571" spans="1:12" ht="28.5">
      <c r="A571" s="102"/>
      <c r="B571" s="280"/>
      <c r="C571" s="97"/>
      <c r="D571" s="347" t="s">
        <v>3205</v>
      </c>
      <c r="E571" s="380" t="s">
        <v>1302</v>
      </c>
      <c r="F571" s="264"/>
      <c r="H571" s="374"/>
      <c r="I571" s="387">
        <v>1</v>
      </c>
      <c r="J571" s="99">
        <v>216.27</v>
      </c>
      <c r="L571" s="322" t="s">
        <v>2698</v>
      </c>
    </row>
    <row r="572" spans="1:12" ht="15">
      <c r="A572" s="102"/>
      <c r="B572" s="280"/>
      <c r="C572" s="97"/>
      <c r="E572" s="380"/>
      <c r="F572" s="264" t="s">
        <v>1317</v>
      </c>
      <c r="G572" s="322" t="s">
        <v>941</v>
      </c>
      <c r="H572" s="374" t="s">
        <v>3968</v>
      </c>
      <c r="I572" s="387">
        <v>118</v>
      </c>
      <c r="J572" s="99">
        <v>32.74</v>
      </c>
      <c r="K572" s="100" t="s">
        <v>3467</v>
      </c>
      <c r="L572" s="322" t="s">
        <v>2699</v>
      </c>
    </row>
    <row r="573" spans="1:12" ht="15">
      <c r="A573" s="102"/>
      <c r="B573" s="280"/>
      <c r="C573" s="97"/>
      <c r="E573" s="380"/>
      <c r="F573" s="264" t="s">
        <v>2117</v>
      </c>
      <c r="G573" s="322" t="s">
        <v>3949</v>
      </c>
      <c r="H573" s="374"/>
      <c r="I573" s="387">
        <v>1</v>
      </c>
      <c r="L573" s="322" t="s">
        <v>3206</v>
      </c>
    </row>
    <row r="574" spans="1:12" ht="15">
      <c r="A574" s="102"/>
      <c r="B574" s="280"/>
      <c r="C574" s="97"/>
      <c r="E574" s="380"/>
      <c r="F574" s="264" t="s">
        <v>1305</v>
      </c>
      <c r="G574" s="322" t="s">
        <v>1009</v>
      </c>
      <c r="H574" s="347" t="s">
        <v>3476</v>
      </c>
      <c r="I574" s="387">
        <v>1</v>
      </c>
      <c r="J574" s="392">
        <v>26</v>
      </c>
      <c r="K574" s="393" t="s">
        <v>3477</v>
      </c>
      <c r="L574" s="322" t="s">
        <v>3472</v>
      </c>
    </row>
    <row r="575" spans="1:12" ht="15">
      <c r="A575" s="102"/>
      <c r="B575" s="280"/>
      <c r="C575" s="97"/>
      <c r="E575" s="380"/>
      <c r="F575" s="264" t="s">
        <v>1317</v>
      </c>
      <c r="G575" s="322" t="s">
        <v>1156</v>
      </c>
      <c r="H575" s="374"/>
      <c r="I575" s="387">
        <v>1</v>
      </c>
      <c r="J575" s="99">
        <v>80.855999999999995</v>
      </c>
      <c r="K575" s="100" t="s">
        <v>3478</v>
      </c>
      <c r="L575" s="322" t="s">
        <v>3473</v>
      </c>
    </row>
    <row r="576" spans="1:12" ht="15">
      <c r="A576" s="102"/>
      <c r="B576" s="280"/>
      <c r="C576" s="97"/>
      <c r="E576" s="380"/>
      <c r="F576" s="264" t="s">
        <v>1305</v>
      </c>
      <c r="G576" s="322" t="s">
        <v>1009</v>
      </c>
      <c r="H576" s="374" t="s">
        <v>3475</v>
      </c>
      <c r="I576" s="387">
        <v>1</v>
      </c>
      <c r="J576" s="99">
        <v>42.56</v>
      </c>
      <c r="K576" s="393" t="s">
        <v>3479</v>
      </c>
      <c r="L576" s="322" t="s">
        <v>3474</v>
      </c>
    </row>
    <row r="577" spans="1:12" ht="17.25" customHeight="1">
      <c r="A577" s="102"/>
      <c r="B577" s="280"/>
      <c r="C577" s="97"/>
      <c r="E577" s="380"/>
      <c r="F577" s="264" t="s">
        <v>1317</v>
      </c>
      <c r="G577" s="322" t="s">
        <v>1156</v>
      </c>
      <c r="H577" s="374" t="s">
        <v>3748</v>
      </c>
      <c r="I577" s="387">
        <v>1</v>
      </c>
      <c r="J577" s="99">
        <v>82.61</v>
      </c>
      <c r="K577" s="96" t="s">
        <v>3749</v>
      </c>
      <c r="L577" s="322" t="s">
        <v>3747</v>
      </c>
    </row>
    <row r="578" spans="1:12" ht="15">
      <c r="A578" s="102"/>
      <c r="B578" s="280"/>
      <c r="C578" s="97"/>
      <c r="D578" s="322" t="s">
        <v>3950</v>
      </c>
      <c r="E578" s="380" t="s">
        <v>1302</v>
      </c>
      <c r="F578" s="264"/>
      <c r="H578" s="374"/>
      <c r="I578" s="387">
        <v>1</v>
      </c>
      <c r="K578" s="96"/>
      <c r="L578" s="322" t="s">
        <v>3951</v>
      </c>
    </row>
    <row r="579" spans="1:12" ht="29.25">
      <c r="A579" s="102"/>
      <c r="B579" s="280"/>
      <c r="C579" s="97"/>
      <c r="E579" s="380"/>
      <c r="F579" s="264" t="s">
        <v>1317</v>
      </c>
      <c r="G579" s="322" t="s">
        <v>1199</v>
      </c>
      <c r="H579" s="374" t="s">
        <v>3954</v>
      </c>
      <c r="I579" s="387">
        <v>11</v>
      </c>
      <c r="K579" s="96"/>
      <c r="L579" s="322" t="s">
        <v>3952</v>
      </c>
    </row>
    <row r="580" spans="1:12" ht="15">
      <c r="A580" s="102"/>
      <c r="B580" s="280"/>
      <c r="C580" s="97"/>
      <c r="E580" s="380"/>
      <c r="F580" s="264" t="s">
        <v>1317</v>
      </c>
      <c r="G580" s="322" t="s">
        <v>1199</v>
      </c>
      <c r="H580" s="374" t="s">
        <v>3959</v>
      </c>
      <c r="I580" s="387">
        <v>11</v>
      </c>
      <c r="K580" s="96"/>
      <c r="L580" s="322" t="s">
        <v>3953</v>
      </c>
    </row>
    <row r="581" spans="1:12" ht="15">
      <c r="A581" s="102"/>
      <c r="B581" s="280"/>
      <c r="C581" s="97"/>
      <c r="E581" s="380"/>
      <c r="F581" s="264" t="s">
        <v>1317</v>
      </c>
      <c r="G581" s="322" t="s">
        <v>1199</v>
      </c>
      <c r="H581" s="374" t="s">
        <v>3958</v>
      </c>
      <c r="I581" s="387">
        <v>8</v>
      </c>
      <c r="K581" s="96"/>
      <c r="L581" s="322" t="s">
        <v>3955</v>
      </c>
    </row>
    <row r="582" spans="1:12" ht="15">
      <c r="A582" s="102"/>
      <c r="B582" s="280"/>
      <c r="C582" s="97"/>
      <c r="E582" s="380"/>
      <c r="F582" s="264" t="s">
        <v>1317</v>
      </c>
      <c r="G582" s="322" t="s">
        <v>1199</v>
      </c>
      <c r="H582" s="374" t="s">
        <v>3956</v>
      </c>
      <c r="I582" s="387">
        <v>8</v>
      </c>
      <c r="K582" s="96"/>
      <c r="L582" s="322" t="s">
        <v>3957</v>
      </c>
    </row>
    <row r="583" spans="1:12" ht="15">
      <c r="A583" s="102"/>
      <c r="B583" s="280"/>
      <c r="C583" s="97"/>
      <c r="E583" s="380"/>
      <c r="F583" s="264" t="s">
        <v>1317</v>
      </c>
      <c r="G583" s="322" t="s">
        <v>1199</v>
      </c>
      <c r="H583" s="374" t="s">
        <v>3960</v>
      </c>
      <c r="I583" s="387">
        <v>2</v>
      </c>
      <c r="K583" s="96"/>
      <c r="L583" s="322" t="s">
        <v>3961</v>
      </c>
    </row>
    <row r="584" spans="1:12" ht="15">
      <c r="A584" s="102"/>
      <c r="B584" s="280"/>
      <c r="C584" s="97"/>
      <c r="E584" s="380"/>
      <c r="F584" s="264" t="s">
        <v>1317</v>
      </c>
      <c r="G584" s="322" t="s">
        <v>1199</v>
      </c>
      <c r="H584" s="374" t="s">
        <v>3962</v>
      </c>
      <c r="I584" s="387">
        <v>2</v>
      </c>
      <c r="K584" s="96"/>
      <c r="L584" s="322" t="s">
        <v>3963</v>
      </c>
    </row>
    <row r="585" spans="1:12" ht="15">
      <c r="A585" s="102"/>
      <c r="B585" s="280"/>
      <c r="C585" s="97"/>
      <c r="E585" s="380"/>
      <c r="F585" s="264" t="s">
        <v>1317</v>
      </c>
      <c r="G585" s="322" t="s">
        <v>1199</v>
      </c>
      <c r="H585" s="374" t="s">
        <v>3964</v>
      </c>
      <c r="I585" s="387">
        <v>6</v>
      </c>
      <c r="K585" s="96"/>
      <c r="L585" s="322" t="s">
        <v>3965</v>
      </c>
    </row>
    <row r="586" spans="1:12" ht="15">
      <c r="A586" s="102"/>
      <c r="B586" s="280"/>
      <c r="C586" s="97"/>
      <c r="E586" s="380"/>
      <c r="F586" s="264" t="s">
        <v>1317</v>
      </c>
      <c r="G586" s="322" t="s">
        <v>1199</v>
      </c>
      <c r="H586" s="374" t="s">
        <v>3967</v>
      </c>
      <c r="I586" s="387">
        <v>8</v>
      </c>
      <c r="K586" s="96"/>
      <c r="L586" s="322" t="s">
        <v>3966</v>
      </c>
    </row>
    <row r="587" spans="1:12" ht="15">
      <c r="A587" s="102"/>
      <c r="B587" s="105"/>
      <c r="C587" s="105"/>
      <c r="D587" s="321"/>
      <c r="E587" s="396"/>
      <c r="F587" s="105"/>
      <c r="G587" s="321"/>
      <c r="H587" s="104"/>
      <c r="I587" s="417"/>
      <c r="J587" s="108"/>
      <c r="K587" s="393"/>
      <c r="L587" s="321"/>
    </row>
    <row r="588" spans="1:12">
      <c r="A588" s="353"/>
      <c r="B588" s="354" t="s">
        <v>13</v>
      </c>
      <c r="C588" s="363" t="s">
        <v>21</v>
      </c>
      <c r="D588" s="355"/>
      <c r="E588" s="402"/>
      <c r="F588" s="356"/>
      <c r="G588" s="354"/>
      <c r="H588" s="362" t="s">
        <v>1730</v>
      </c>
      <c r="I588" s="421">
        <v>1</v>
      </c>
      <c r="J588" s="357">
        <v>862.65</v>
      </c>
      <c r="K588" s="358"/>
      <c r="L588" s="363" t="s">
        <v>1728</v>
      </c>
    </row>
    <row r="589" spans="1:12">
      <c r="A589" s="353"/>
      <c r="B589" s="354"/>
      <c r="C589" s="17"/>
      <c r="D589" s="17" t="s">
        <v>1727</v>
      </c>
      <c r="E589" s="370" t="s">
        <v>1311</v>
      </c>
      <c r="F589" s="359"/>
      <c r="G589" s="353"/>
      <c r="H589" s="17"/>
      <c r="I589" s="371">
        <v>1</v>
      </c>
      <c r="J589" s="360">
        <v>650</v>
      </c>
      <c r="K589" s="361"/>
      <c r="L589" s="368" t="s">
        <v>1729</v>
      </c>
    </row>
    <row r="590" spans="1:12" ht="15">
      <c r="A590" s="102"/>
      <c r="B590" s="354"/>
      <c r="C590" s="17"/>
      <c r="D590" s="17" t="s">
        <v>1731</v>
      </c>
      <c r="E590" s="370" t="s">
        <v>1311</v>
      </c>
      <c r="F590" s="359"/>
      <c r="G590" s="353"/>
      <c r="H590" s="17"/>
      <c r="I590" s="371">
        <v>1</v>
      </c>
      <c r="J590" s="360">
        <v>200</v>
      </c>
      <c r="K590" s="361"/>
      <c r="L590" s="368" t="s">
        <v>1732</v>
      </c>
    </row>
    <row r="591" spans="1:12" ht="15">
      <c r="A591" s="102"/>
      <c r="B591" s="354"/>
      <c r="C591" s="17"/>
      <c r="D591" s="17" t="s">
        <v>2256</v>
      </c>
      <c r="E591" s="370" t="s">
        <v>1302</v>
      </c>
      <c r="F591" s="359"/>
      <c r="G591" s="353"/>
      <c r="H591" s="17"/>
      <c r="I591" s="371">
        <v>1</v>
      </c>
      <c r="J591" s="360">
        <v>2.0299999999999998</v>
      </c>
      <c r="K591" s="361"/>
      <c r="L591" s="368" t="s">
        <v>3055</v>
      </c>
    </row>
    <row r="592" spans="1:12" ht="29.25">
      <c r="A592" s="102"/>
      <c r="B592" s="354"/>
      <c r="C592" s="17"/>
      <c r="D592" s="17"/>
      <c r="E592" s="370"/>
      <c r="F592" s="359" t="s">
        <v>1317</v>
      </c>
      <c r="G592" s="353" t="s">
        <v>1199</v>
      </c>
      <c r="H592" s="364" t="s">
        <v>3207</v>
      </c>
      <c r="I592" s="371">
        <v>2</v>
      </c>
      <c r="J592" s="360">
        <v>0.37</v>
      </c>
      <c r="K592" s="361"/>
      <c r="L592" s="368" t="s">
        <v>3056</v>
      </c>
    </row>
    <row r="593" spans="1:12" ht="15">
      <c r="A593" s="102"/>
      <c r="B593" s="354"/>
      <c r="C593" s="17"/>
      <c r="D593" s="17"/>
      <c r="E593" s="370"/>
      <c r="F593" s="359" t="s">
        <v>1309</v>
      </c>
      <c r="G593" s="353" t="s">
        <v>1228</v>
      </c>
      <c r="H593" s="17" t="s">
        <v>3480</v>
      </c>
      <c r="I593" s="371">
        <v>4</v>
      </c>
      <c r="J593" s="360">
        <v>0.12</v>
      </c>
      <c r="K593" s="361"/>
      <c r="L593" s="368" t="s">
        <v>3057</v>
      </c>
    </row>
    <row r="594" spans="1:12" ht="15">
      <c r="A594" s="102"/>
      <c r="B594" s="354"/>
      <c r="C594" s="17"/>
      <c r="D594" s="17"/>
      <c r="E594" s="370"/>
      <c r="F594" s="359" t="s">
        <v>1309</v>
      </c>
      <c r="G594" s="353" t="s">
        <v>1230</v>
      </c>
      <c r="H594" s="17"/>
      <c r="I594" s="371">
        <v>4</v>
      </c>
      <c r="J594" s="360">
        <v>0.05</v>
      </c>
      <c r="K594" s="361"/>
      <c r="L594" s="368" t="s">
        <v>3058</v>
      </c>
    </row>
    <row r="595" spans="1:12" ht="15">
      <c r="A595" s="102"/>
      <c r="B595" s="354"/>
      <c r="C595" s="17"/>
      <c r="D595" s="17"/>
      <c r="E595" s="370"/>
      <c r="F595" s="359" t="s">
        <v>1317</v>
      </c>
      <c r="G595" s="353" t="s">
        <v>1210</v>
      </c>
      <c r="H595" s="17"/>
      <c r="I595" s="371">
        <v>8</v>
      </c>
      <c r="J595" s="360">
        <v>0.03</v>
      </c>
      <c r="K595" s="361"/>
      <c r="L595" s="368" t="s">
        <v>3059</v>
      </c>
    </row>
    <row r="596" spans="1:12" ht="15">
      <c r="A596" s="102"/>
      <c r="B596" s="354"/>
      <c r="C596" s="17"/>
      <c r="D596" s="17"/>
      <c r="E596" s="370"/>
      <c r="F596" s="359" t="s">
        <v>1317</v>
      </c>
      <c r="G596" s="353" t="s">
        <v>1199</v>
      </c>
      <c r="H596" s="17" t="s">
        <v>3209</v>
      </c>
      <c r="I596" s="371">
        <v>1</v>
      </c>
      <c r="J596" s="360">
        <v>0.37</v>
      </c>
      <c r="K596" s="361"/>
      <c r="L596" s="368" t="s">
        <v>3060</v>
      </c>
    </row>
    <row r="597" spans="1:12" ht="15">
      <c r="A597" s="102"/>
      <c r="B597" s="354"/>
      <c r="C597" s="17"/>
      <c r="D597" s="17" t="s">
        <v>3208</v>
      </c>
      <c r="E597" s="370" t="s">
        <v>1302</v>
      </c>
      <c r="F597" s="359"/>
      <c r="G597" s="353"/>
      <c r="H597" s="17"/>
      <c r="I597" s="371">
        <v>2</v>
      </c>
      <c r="J597" s="360">
        <v>5.77</v>
      </c>
      <c r="K597" s="361"/>
      <c r="L597" s="368" t="s">
        <v>3063</v>
      </c>
    </row>
    <row r="598" spans="1:12" ht="15">
      <c r="A598" s="102"/>
      <c r="B598" s="354"/>
      <c r="C598" s="17"/>
      <c r="D598" s="17"/>
      <c r="E598" s="370"/>
      <c r="F598" s="359" t="s">
        <v>1305</v>
      </c>
      <c r="G598" s="353" t="s">
        <v>1007</v>
      </c>
      <c r="H598" s="17"/>
      <c r="I598" s="371">
        <v>1</v>
      </c>
      <c r="J598" s="360"/>
      <c r="K598" s="361">
        <v>72623</v>
      </c>
      <c r="L598" s="368" t="s">
        <v>3064</v>
      </c>
    </row>
    <row r="599" spans="1:12" ht="15">
      <c r="A599" s="102"/>
      <c r="B599" s="354"/>
      <c r="C599" s="17"/>
      <c r="D599" s="17"/>
      <c r="E599" s="370"/>
      <c r="F599" s="359" t="s">
        <v>1317</v>
      </c>
      <c r="G599" s="353" t="s">
        <v>1157</v>
      </c>
      <c r="H599" s="17" t="s">
        <v>1339</v>
      </c>
      <c r="I599" s="371">
        <v>1</v>
      </c>
      <c r="J599" s="360">
        <v>1</v>
      </c>
      <c r="K599" s="361" t="s">
        <v>3483</v>
      </c>
      <c r="L599" s="368" t="s">
        <v>3065</v>
      </c>
    </row>
    <row r="600" spans="1:12" ht="15">
      <c r="A600" s="102"/>
      <c r="B600" s="354"/>
      <c r="C600" s="17"/>
      <c r="D600" s="17"/>
      <c r="E600" s="370"/>
      <c r="F600" s="359" t="s">
        <v>1317</v>
      </c>
      <c r="G600" s="353" t="s">
        <v>1208</v>
      </c>
      <c r="H600" s="17" t="s">
        <v>3066</v>
      </c>
      <c r="I600" s="371">
        <v>3</v>
      </c>
      <c r="J600" s="360">
        <v>0.56000000000000005</v>
      </c>
      <c r="K600" s="361"/>
      <c r="L600" s="368" t="s">
        <v>3067</v>
      </c>
    </row>
    <row r="601" spans="1:12" ht="15">
      <c r="A601" s="102"/>
      <c r="B601" s="354"/>
      <c r="C601" s="17"/>
      <c r="D601" s="17"/>
      <c r="E601" s="370"/>
      <c r="F601" s="359" t="s">
        <v>1317</v>
      </c>
      <c r="G601" s="353" t="s">
        <v>1199</v>
      </c>
      <c r="H601" s="17" t="s">
        <v>3210</v>
      </c>
      <c r="I601" s="371">
        <v>1</v>
      </c>
      <c r="J601" s="360">
        <v>0.37</v>
      </c>
      <c r="K601" s="361"/>
      <c r="L601" s="368" t="s">
        <v>3068</v>
      </c>
    </row>
    <row r="602" spans="1:12" ht="15">
      <c r="A602" s="102"/>
      <c r="B602" s="354"/>
      <c r="C602" s="17"/>
      <c r="D602" s="17"/>
      <c r="E602" s="370"/>
      <c r="F602" s="359" t="s">
        <v>1309</v>
      </c>
      <c r="G602" s="353" t="s">
        <v>1228</v>
      </c>
      <c r="H602" s="17" t="s">
        <v>2505</v>
      </c>
      <c r="I602" s="371">
        <v>1</v>
      </c>
      <c r="J602" s="360">
        <v>0.04</v>
      </c>
      <c r="K602" s="361"/>
      <c r="L602" s="368" t="s">
        <v>3069</v>
      </c>
    </row>
    <row r="603" spans="1:12" ht="15">
      <c r="A603" s="102"/>
      <c r="B603" s="354"/>
      <c r="C603" s="17"/>
      <c r="D603" s="17"/>
      <c r="E603" s="370"/>
      <c r="F603" s="359" t="s">
        <v>1309</v>
      </c>
      <c r="G603" s="353" t="s">
        <v>1230</v>
      </c>
      <c r="H603" s="17" t="s">
        <v>2034</v>
      </c>
      <c r="I603" s="371">
        <v>1</v>
      </c>
      <c r="J603" s="360">
        <v>0.02</v>
      </c>
      <c r="K603" s="361"/>
      <c r="L603" s="368" t="s">
        <v>3070</v>
      </c>
    </row>
    <row r="604" spans="1:12" ht="15">
      <c r="A604" s="102"/>
      <c r="B604" s="354"/>
      <c r="C604" s="17"/>
      <c r="D604" s="17"/>
      <c r="E604" s="370"/>
      <c r="F604" s="359" t="s">
        <v>1317</v>
      </c>
      <c r="G604" s="353" t="s">
        <v>1210</v>
      </c>
      <c r="H604" s="17"/>
      <c r="I604" s="371">
        <v>2</v>
      </c>
      <c r="J604" s="360">
        <v>0.03</v>
      </c>
      <c r="K604" s="361"/>
      <c r="L604" s="368" t="s">
        <v>3071</v>
      </c>
    </row>
    <row r="605" spans="1:12" ht="15">
      <c r="A605" s="102"/>
      <c r="B605" s="354"/>
      <c r="C605" s="17"/>
      <c r="D605" s="17"/>
      <c r="E605" s="370"/>
      <c r="F605" s="359" t="s">
        <v>1317</v>
      </c>
      <c r="G605" s="353" t="s">
        <v>1200</v>
      </c>
      <c r="H605" s="17" t="s">
        <v>3157</v>
      </c>
      <c r="I605" s="371">
        <v>4</v>
      </c>
      <c r="J605" s="360">
        <v>0.65</v>
      </c>
      <c r="K605" s="361"/>
      <c r="L605" s="368" t="s">
        <v>3156</v>
      </c>
    </row>
    <row r="606" spans="1:12" ht="15.75">
      <c r="A606" s="102"/>
      <c r="B606" s="105"/>
      <c r="C606" s="105"/>
      <c r="D606" s="321"/>
      <c r="E606" s="396"/>
      <c r="F606" s="105"/>
      <c r="G606" s="321"/>
      <c r="H606" s="104"/>
      <c r="I606" s="417"/>
      <c r="J606" s="108"/>
      <c r="K606" s="133"/>
      <c r="L606" s="321"/>
    </row>
    <row r="607" spans="1:12">
      <c r="A607" s="353"/>
      <c r="B607" s="354" t="s">
        <v>13</v>
      </c>
      <c r="C607" s="355" t="s">
        <v>80</v>
      </c>
      <c r="D607" s="355"/>
      <c r="E607" s="402"/>
      <c r="F607" s="356"/>
      <c r="G607" s="354"/>
      <c r="H607" s="355" t="s">
        <v>1733</v>
      </c>
      <c r="I607" s="421">
        <v>1</v>
      </c>
      <c r="J607" s="357">
        <v>1126.9000000000001</v>
      </c>
      <c r="K607" s="358"/>
      <c r="L607" s="363" t="s">
        <v>1734</v>
      </c>
    </row>
    <row r="608" spans="1:12">
      <c r="A608" s="365"/>
      <c r="B608" s="366"/>
      <c r="C608" s="368"/>
      <c r="D608" s="369" t="s">
        <v>2740</v>
      </c>
      <c r="E608" s="370" t="s">
        <v>1302</v>
      </c>
      <c r="F608" s="370"/>
      <c r="G608" s="365"/>
      <c r="H608" s="368"/>
      <c r="I608" s="371">
        <v>1</v>
      </c>
      <c r="J608" s="372">
        <v>240.33</v>
      </c>
      <c r="K608" s="373"/>
      <c r="L608" s="368" t="s">
        <v>1735</v>
      </c>
    </row>
    <row r="609" spans="1:12">
      <c r="A609" s="365"/>
      <c r="B609" s="366"/>
      <c r="C609" s="368"/>
      <c r="D609" s="369"/>
      <c r="E609" s="370"/>
      <c r="F609" s="370" t="s">
        <v>1305</v>
      </c>
      <c r="G609" s="365" t="s">
        <v>999</v>
      </c>
      <c r="H609" s="368"/>
      <c r="I609" s="371">
        <v>10</v>
      </c>
      <c r="J609" s="372">
        <v>13.85</v>
      </c>
      <c r="K609" s="373" t="s">
        <v>3750</v>
      </c>
      <c r="L609" s="368" t="s">
        <v>1736</v>
      </c>
    </row>
    <row r="610" spans="1:12">
      <c r="A610" s="365"/>
      <c r="B610" s="366"/>
      <c r="C610" s="368"/>
      <c r="D610" s="369"/>
      <c r="E610" s="370"/>
      <c r="F610" s="370" t="s">
        <v>1309</v>
      </c>
      <c r="G610" s="365" t="s">
        <v>1228</v>
      </c>
      <c r="H610" s="368" t="s">
        <v>3752</v>
      </c>
      <c r="I610" s="371">
        <v>4</v>
      </c>
      <c r="J610" s="372">
        <v>0.04</v>
      </c>
      <c r="K610" s="373"/>
      <c r="L610" s="368" t="s">
        <v>2507</v>
      </c>
    </row>
    <row r="611" spans="1:12">
      <c r="A611" s="365"/>
      <c r="B611" s="366"/>
      <c r="C611" s="368"/>
      <c r="D611" s="369"/>
      <c r="E611" s="370"/>
      <c r="F611" s="370" t="s">
        <v>1305</v>
      </c>
      <c r="G611" s="365" t="s">
        <v>4035</v>
      </c>
      <c r="H611" s="368"/>
      <c r="I611" s="371">
        <v>1</v>
      </c>
      <c r="J611" s="372">
        <v>15.02</v>
      </c>
      <c r="K611" s="373" t="s">
        <v>4036</v>
      </c>
      <c r="L611" s="368" t="s">
        <v>2741</v>
      </c>
    </row>
    <row r="612" spans="1:12">
      <c r="A612" s="365"/>
      <c r="B612" s="366"/>
      <c r="C612" s="368"/>
      <c r="D612" s="369"/>
      <c r="E612" s="370"/>
      <c r="F612" s="370" t="s">
        <v>1309</v>
      </c>
      <c r="G612" s="365" t="s">
        <v>1230</v>
      </c>
      <c r="H612" s="368" t="s">
        <v>3751</v>
      </c>
      <c r="I612" s="371">
        <v>4</v>
      </c>
      <c r="J612" s="372">
        <v>0.02</v>
      </c>
      <c r="K612" s="373"/>
      <c r="L612" s="368" t="s">
        <v>2761</v>
      </c>
    </row>
    <row r="613" spans="1:12">
      <c r="A613" s="365"/>
      <c r="B613" s="366"/>
      <c r="C613" s="368"/>
      <c r="D613" s="369"/>
      <c r="E613" s="370"/>
      <c r="F613" s="370" t="s">
        <v>1317</v>
      </c>
      <c r="G613" s="365" t="s">
        <v>1210</v>
      </c>
      <c r="H613" s="368"/>
      <c r="I613" s="371">
        <v>10</v>
      </c>
      <c r="J613" s="372">
        <v>0.03</v>
      </c>
      <c r="K613" s="373" t="s">
        <v>3673</v>
      </c>
      <c r="L613" s="368" t="s">
        <v>2762</v>
      </c>
    </row>
    <row r="614" spans="1:12">
      <c r="A614" s="365"/>
      <c r="B614" s="366"/>
      <c r="C614" s="368"/>
      <c r="D614" s="369"/>
      <c r="E614" s="370"/>
      <c r="F614" s="370" t="s">
        <v>1309</v>
      </c>
      <c r="G614" s="365" t="s">
        <v>1235</v>
      </c>
      <c r="H614" s="368" t="s">
        <v>3847</v>
      </c>
      <c r="I614" s="371">
        <v>4</v>
      </c>
      <c r="J614" s="372">
        <v>0.01</v>
      </c>
      <c r="K614" s="373"/>
      <c r="L614" s="368" t="s">
        <v>3674</v>
      </c>
    </row>
    <row r="615" spans="1:12">
      <c r="A615" s="365"/>
      <c r="B615" s="366"/>
      <c r="C615" s="368"/>
      <c r="D615" s="369"/>
      <c r="E615" s="370"/>
      <c r="F615" s="370" t="s">
        <v>1317</v>
      </c>
      <c r="G615" s="365" t="s">
        <v>1214</v>
      </c>
      <c r="H615" s="368"/>
      <c r="I615" s="371">
        <v>10</v>
      </c>
      <c r="J615" s="372">
        <v>0.69</v>
      </c>
      <c r="K615" s="373" t="s">
        <v>3750</v>
      </c>
      <c r="L615" s="368" t="s">
        <v>3753</v>
      </c>
    </row>
    <row r="616" spans="1:12">
      <c r="A616" s="365"/>
      <c r="B616" s="366"/>
      <c r="C616" s="368"/>
      <c r="D616" s="369"/>
      <c r="E616" s="370"/>
      <c r="F616" s="370" t="s">
        <v>1317</v>
      </c>
      <c r="G616" s="365" t="s">
        <v>1199</v>
      </c>
      <c r="H616" s="368" t="s">
        <v>4039</v>
      </c>
      <c r="I616" s="371">
        <v>1</v>
      </c>
      <c r="J616" s="372"/>
      <c r="K616" s="373"/>
      <c r="L616" s="368" t="s">
        <v>4040</v>
      </c>
    </row>
    <row r="617" spans="1:12">
      <c r="A617" s="365"/>
      <c r="B617" s="366"/>
      <c r="C617" s="368"/>
      <c r="D617" s="369"/>
      <c r="E617" s="370"/>
      <c r="F617" s="370" t="s">
        <v>1317</v>
      </c>
      <c r="G617" s="365" t="s">
        <v>4033</v>
      </c>
      <c r="H617" s="368"/>
      <c r="I617" s="371">
        <v>1</v>
      </c>
      <c r="J617" s="372">
        <v>5.4</v>
      </c>
      <c r="K617" s="373" t="s">
        <v>3734</v>
      </c>
      <c r="L617" s="368"/>
    </row>
    <row r="618" spans="1:12">
      <c r="A618" s="365"/>
      <c r="B618" s="366"/>
      <c r="C618" s="368"/>
      <c r="D618" s="369"/>
      <c r="E618" s="370"/>
      <c r="F618" s="370" t="s">
        <v>1317</v>
      </c>
      <c r="G618" s="365" t="s">
        <v>1206</v>
      </c>
      <c r="H618" s="368" t="s">
        <v>3755</v>
      </c>
      <c r="I618" s="371">
        <v>1</v>
      </c>
      <c r="J618" s="372">
        <v>44.88</v>
      </c>
      <c r="K618" s="373" t="s">
        <v>3761</v>
      </c>
      <c r="L618" s="368" t="s">
        <v>3754</v>
      </c>
    </row>
    <row r="619" spans="1:12">
      <c r="A619" s="365"/>
      <c r="B619" s="366"/>
      <c r="C619" s="368"/>
      <c r="D619" s="369"/>
      <c r="E619" s="370"/>
      <c r="F619" s="370" t="s">
        <v>1317</v>
      </c>
      <c r="G619" s="365" t="s">
        <v>1208</v>
      </c>
      <c r="H619" s="368" t="s">
        <v>3066</v>
      </c>
      <c r="I619" s="371">
        <v>10</v>
      </c>
      <c r="J619" s="372">
        <v>0.06</v>
      </c>
      <c r="K619" s="373" t="s">
        <v>3663</v>
      </c>
      <c r="L619" s="368"/>
    </row>
    <row r="620" spans="1:12" ht="15">
      <c r="A620" s="102"/>
      <c r="B620" s="366"/>
      <c r="C620" s="368"/>
      <c r="D620" s="369" t="s">
        <v>2678</v>
      </c>
      <c r="E620" s="370" t="s">
        <v>1302</v>
      </c>
      <c r="F620" s="370"/>
      <c r="G620" s="365"/>
      <c r="H620" s="368"/>
      <c r="I620" s="371">
        <v>1</v>
      </c>
      <c r="J620" s="372">
        <v>896.57</v>
      </c>
      <c r="K620" s="373"/>
      <c r="L620" s="368" t="s">
        <v>2081</v>
      </c>
    </row>
    <row r="621" spans="1:12" ht="15">
      <c r="A621" s="102"/>
      <c r="B621" s="366"/>
      <c r="C621" s="368"/>
      <c r="D621" s="369"/>
      <c r="E621" s="370"/>
      <c r="F621" s="370" t="s">
        <v>1305</v>
      </c>
      <c r="G621" s="365" t="s">
        <v>999</v>
      </c>
      <c r="H621" s="368"/>
      <c r="I621" s="371">
        <v>5</v>
      </c>
      <c r="J621" s="372">
        <v>62.12</v>
      </c>
      <c r="K621" s="373" t="s">
        <v>3756</v>
      </c>
      <c r="L621" s="368" t="s">
        <v>2082</v>
      </c>
    </row>
    <row r="622" spans="1:12" ht="15">
      <c r="A622" s="102"/>
      <c r="B622" s="366"/>
      <c r="C622" s="368"/>
      <c r="D622" s="369"/>
      <c r="E622" s="370"/>
      <c r="F622" s="370" t="s">
        <v>1305</v>
      </c>
      <c r="G622" s="365" t="s">
        <v>4035</v>
      </c>
      <c r="H622" s="368"/>
      <c r="I622" s="371">
        <v>1</v>
      </c>
      <c r="J622" s="372">
        <v>33.770000000000003</v>
      </c>
      <c r="K622" s="373" t="s">
        <v>4037</v>
      </c>
      <c r="L622" s="368" t="s">
        <v>2760</v>
      </c>
    </row>
    <row r="623" spans="1:12" ht="15">
      <c r="A623" s="102"/>
      <c r="B623" s="366"/>
      <c r="C623" s="368"/>
      <c r="D623" s="369"/>
      <c r="E623" s="370"/>
      <c r="F623" s="370" t="s">
        <v>1309</v>
      </c>
      <c r="G623" s="365" t="s">
        <v>1228</v>
      </c>
      <c r="H623" s="368" t="s">
        <v>3752</v>
      </c>
      <c r="I623" s="371">
        <v>10</v>
      </c>
      <c r="J623" s="372">
        <v>0.05</v>
      </c>
      <c r="K623" s="373" t="s">
        <v>3757</v>
      </c>
      <c r="L623" s="368" t="s">
        <v>2763</v>
      </c>
    </row>
    <row r="624" spans="1:12" ht="15">
      <c r="A624" s="102"/>
      <c r="B624" s="366"/>
      <c r="C624" s="368"/>
      <c r="D624" s="369"/>
      <c r="E624" s="370"/>
      <c r="F624" s="370" t="s">
        <v>1309</v>
      </c>
      <c r="G624" s="365" t="s">
        <v>1230</v>
      </c>
      <c r="H624" s="368" t="s">
        <v>3758</v>
      </c>
      <c r="I624" s="371">
        <v>10</v>
      </c>
      <c r="J624" s="372">
        <v>0.02</v>
      </c>
      <c r="K624" s="373"/>
      <c r="L624" s="368" t="s">
        <v>2764</v>
      </c>
    </row>
    <row r="625" spans="1:12" ht="15">
      <c r="A625" s="102"/>
      <c r="B625" s="366"/>
      <c r="C625" s="368"/>
      <c r="D625" s="369"/>
      <c r="E625" s="370"/>
      <c r="F625" s="370" t="s">
        <v>1317</v>
      </c>
      <c r="G625" s="365" t="s">
        <v>1210</v>
      </c>
      <c r="H625" s="368"/>
      <c r="I625" s="371">
        <v>20</v>
      </c>
      <c r="J625" s="372">
        <v>0.01</v>
      </c>
      <c r="K625" s="373" t="s">
        <v>3675</v>
      </c>
      <c r="L625" s="368" t="s">
        <v>2765</v>
      </c>
    </row>
    <row r="626" spans="1:12" ht="15">
      <c r="A626" s="102"/>
      <c r="B626" s="366"/>
      <c r="C626" s="368"/>
      <c r="D626" s="369"/>
      <c r="E626" s="370"/>
      <c r="F626" s="370" t="s">
        <v>1317</v>
      </c>
      <c r="G626" s="365" t="s">
        <v>4038</v>
      </c>
      <c r="H626" s="368"/>
      <c r="I626" s="371">
        <v>1</v>
      </c>
      <c r="J626" s="372">
        <v>41.35</v>
      </c>
      <c r="K626" s="373" t="s">
        <v>3651</v>
      </c>
      <c r="L626" s="368" t="s">
        <v>2973</v>
      </c>
    </row>
    <row r="627" spans="1:12" ht="15">
      <c r="A627" s="102"/>
      <c r="B627" s="366"/>
      <c r="C627" s="368"/>
      <c r="D627" s="369"/>
      <c r="E627" s="370"/>
      <c r="F627" s="370" t="s">
        <v>1317</v>
      </c>
      <c r="G627" s="365" t="s">
        <v>1199</v>
      </c>
      <c r="H627" s="368" t="s">
        <v>4039</v>
      </c>
      <c r="I627" s="371">
        <v>1</v>
      </c>
      <c r="J627" s="372"/>
      <c r="K627" s="373"/>
      <c r="L627" s="368" t="s">
        <v>4041</v>
      </c>
    </row>
    <row r="628" spans="1:12" ht="15">
      <c r="A628" s="102"/>
      <c r="B628" s="366"/>
      <c r="C628" s="368"/>
      <c r="D628" s="369"/>
      <c r="E628" s="370"/>
      <c r="F628" s="370" t="s">
        <v>1317</v>
      </c>
      <c r="G628" s="365" t="s">
        <v>4033</v>
      </c>
      <c r="H628" s="368"/>
      <c r="I628" s="371">
        <v>1</v>
      </c>
      <c r="J628" s="372">
        <v>24.23</v>
      </c>
      <c r="K628" s="373" t="s">
        <v>4034</v>
      </c>
      <c r="L628" s="368"/>
    </row>
    <row r="629" spans="1:12" ht="15">
      <c r="A629" s="102"/>
      <c r="B629" s="366"/>
      <c r="C629" s="368"/>
      <c r="D629" s="369"/>
      <c r="E629" s="370"/>
      <c r="F629" s="370" t="s">
        <v>1317</v>
      </c>
      <c r="G629" s="365" t="s">
        <v>1208</v>
      </c>
      <c r="H629" s="368"/>
      <c r="I629" s="371">
        <v>10</v>
      </c>
      <c r="J629" s="372">
        <v>0.06</v>
      </c>
      <c r="K629" s="373" t="s">
        <v>3663</v>
      </c>
      <c r="L629" s="368" t="s">
        <v>3420</v>
      </c>
    </row>
    <row r="630" spans="1:12" ht="15">
      <c r="A630" s="102"/>
      <c r="B630" s="366"/>
      <c r="C630" s="368"/>
      <c r="D630" s="369"/>
      <c r="E630" s="370"/>
      <c r="F630" s="370" t="s">
        <v>1317</v>
      </c>
      <c r="G630" s="365" t="s">
        <v>1214</v>
      </c>
      <c r="H630" s="368"/>
      <c r="I630" s="371">
        <v>5</v>
      </c>
      <c r="J630" s="372">
        <v>3.1</v>
      </c>
      <c r="K630" s="373" t="s">
        <v>3756</v>
      </c>
      <c r="L630" s="368" t="s">
        <v>3759</v>
      </c>
    </row>
    <row r="631" spans="1:12" ht="15">
      <c r="A631" s="102"/>
      <c r="B631" s="366"/>
      <c r="C631" s="368"/>
      <c r="D631" s="369"/>
      <c r="E631" s="370"/>
      <c r="F631" s="370" t="s">
        <v>1317</v>
      </c>
      <c r="G631" s="365" t="s">
        <v>1206</v>
      </c>
      <c r="H631" s="368" t="s">
        <v>3755</v>
      </c>
      <c r="I631" s="371">
        <v>1</v>
      </c>
      <c r="J631" s="372">
        <v>44.88</v>
      </c>
      <c r="K631" s="373" t="s">
        <v>3761</v>
      </c>
      <c r="L631" s="368" t="s">
        <v>3760</v>
      </c>
    </row>
    <row r="632" spans="1:12" ht="45" customHeight="1">
      <c r="A632" s="102"/>
      <c r="B632" s="366"/>
      <c r="C632" s="368"/>
      <c r="D632" s="369"/>
      <c r="E632" s="370"/>
      <c r="F632" s="370" t="s">
        <v>2117</v>
      </c>
      <c r="G632" s="365" t="s">
        <v>2417</v>
      </c>
      <c r="H632" s="368"/>
      <c r="I632" s="371">
        <v>1</v>
      </c>
      <c r="J632" s="372">
        <v>335.23</v>
      </c>
      <c r="K632" s="373" t="s">
        <v>3763</v>
      </c>
      <c r="L632" s="368" t="s">
        <v>3762</v>
      </c>
    </row>
    <row r="633" spans="1:12" ht="15.75">
      <c r="A633" s="102"/>
      <c r="B633" s="105"/>
      <c r="C633" s="105"/>
      <c r="D633" s="321"/>
      <c r="E633" s="396"/>
      <c r="F633" s="105"/>
      <c r="G633" s="321"/>
      <c r="H633" s="104"/>
      <c r="I633" s="417"/>
      <c r="J633" s="108"/>
      <c r="K633" s="133"/>
      <c r="L633" s="321"/>
    </row>
    <row r="634" spans="1:12">
      <c r="A634" s="353"/>
      <c r="B634" s="354" t="s">
        <v>13</v>
      </c>
      <c r="C634" s="355" t="s">
        <v>24</v>
      </c>
      <c r="D634" s="355"/>
      <c r="E634" s="402"/>
      <c r="F634" s="356"/>
      <c r="G634" s="354"/>
      <c r="H634" s="355"/>
      <c r="I634" s="421">
        <v>1</v>
      </c>
      <c r="J634" s="357">
        <v>142.65</v>
      </c>
      <c r="K634" s="358"/>
      <c r="L634" s="363" t="s">
        <v>1761</v>
      </c>
    </row>
    <row r="635" spans="1:12" ht="28.5">
      <c r="A635" s="353"/>
      <c r="B635" s="354"/>
      <c r="C635" s="17"/>
      <c r="D635" s="364" t="s">
        <v>2087</v>
      </c>
      <c r="E635" s="370" t="s">
        <v>1302</v>
      </c>
      <c r="F635" s="359"/>
      <c r="G635" s="353"/>
      <c r="H635" s="17"/>
      <c r="I635" s="371">
        <v>2</v>
      </c>
      <c r="J635" s="372">
        <v>19.47</v>
      </c>
      <c r="K635" s="373"/>
      <c r="L635" s="368" t="s">
        <v>1762</v>
      </c>
    </row>
    <row r="636" spans="1:12">
      <c r="A636" s="353"/>
      <c r="B636" s="354"/>
      <c r="C636" s="17"/>
      <c r="D636" s="364"/>
      <c r="E636" s="370"/>
      <c r="F636" s="359" t="s">
        <v>1305</v>
      </c>
      <c r="G636" s="353" t="s">
        <v>1009</v>
      </c>
      <c r="H636" s="17" t="s">
        <v>3487</v>
      </c>
      <c r="I636" s="371">
        <v>2</v>
      </c>
      <c r="J636" s="360">
        <v>0.45</v>
      </c>
      <c r="K636" s="361" t="s">
        <v>3485</v>
      </c>
      <c r="L636" s="368" t="s">
        <v>2093</v>
      </c>
    </row>
    <row r="637" spans="1:12">
      <c r="A637" s="353"/>
      <c r="B637" s="354"/>
      <c r="C637" s="17"/>
      <c r="D637" s="364"/>
      <c r="E637" s="370"/>
      <c r="F637" s="359" t="s">
        <v>1305</v>
      </c>
      <c r="G637" s="353" t="s">
        <v>1009</v>
      </c>
      <c r="H637" s="17" t="s">
        <v>3488</v>
      </c>
      <c r="I637" s="371">
        <v>1</v>
      </c>
      <c r="J637" s="360">
        <v>0.73560000000000003</v>
      </c>
      <c r="K637" s="361" t="s">
        <v>3486</v>
      </c>
      <c r="L637" s="368" t="s">
        <v>2246</v>
      </c>
    </row>
    <row r="638" spans="1:12">
      <c r="A638" s="353"/>
      <c r="B638" s="354"/>
      <c r="C638" s="17"/>
      <c r="D638" s="364"/>
      <c r="E638" s="370"/>
      <c r="F638" s="359" t="s">
        <v>1317</v>
      </c>
      <c r="G638" s="353" t="s">
        <v>1156</v>
      </c>
      <c r="H638" s="17"/>
      <c r="I638" s="371">
        <v>3</v>
      </c>
      <c r="J638" s="360">
        <v>6.24</v>
      </c>
      <c r="K638" s="361">
        <v>1040</v>
      </c>
      <c r="L638" s="368" t="s">
        <v>2247</v>
      </c>
    </row>
    <row r="639" spans="1:12" ht="51">
      <c r="A639" s="353"/>
      <c r="B639" s="354"/>
      <c r="C639" s="17"/>
      <c r="D639" s="364"/>
      <c r="E639" s="370"/>
      <c r="F639" s="370" t="s">
        <v>2117</v>
      </c>
      <c r="G639" s="365" t="s">
        <v>1244</v>
      </c>
      <c r="H639" s="368"/>
      <c r="I639" s="371">
        <v>1</v>
      </c>
      <c r="J639" s="372">
        <v>3.31</v>
      </c>
      <c r="K639" s="458" t="s">
        <v>3503</v>
      </c>
      <c r="L639" s="368" t="s">
        <v>2266</v>
      </c>
    </row>
    <row r="640" spans="1:12">
      <c r="A640" s="353"/>
      <c r="B640" s="354"/>
      <c r="C640" s="17"/>
      <c r="D640" s="364"/>
      <c r="E640" s="370"/>
      <c r="F640" s="359" t="s">
        <v>1317</v>
      </c>
      <c r="G640" s="353" t="s">
        <v>941</v>
      </c>
      <c r="H640" s="364" t="s">
        <v>3211</v>
      </c>
      <c r="I640" s="371">
        <v>1</v>
      </c>
      <c r="J640" s="360">
        <v>4.32</v>
      </c>
      <c r="K640" s="361" t="s">
        <v>3489</v>
      </c>
      <c r="L640" s="368" t="s">
        <v>2405</v>
      </c>
    </row>
    <row r="641" spans="1:12">
      <c r="A641" s="353"/>
      <c r="B641" s="354"/>
      <c r="C641" s="17"/>
      <c r="D641" s="364"/>
      <c r="E641" s="370"/>
      <c r="F641" s="359" t="s">
        <v>1317</v>
      </c>
      <c r="G641" s="353" t="s">
        <v>1199</v>
      </c>
      <c r="H641" s="364" t="s">
        <v>3418</v>
      </c>
      <c r="I641" s="371">
        <v>6</v>
      </c>
      <c r="J641" s="360">
        <v>0.65</v>
      </c>
      <c r="K641" s="361"/>
      <c r="L641" s="368" t="s">
        <v>3419</v>
      </c>
    </row>
    <row r="642" spans="1:12">
      <c r="A642" s="353"/>
      <c r="B642" s="354"/>
      <c r="C642" s="17"/>
      <c r="D642" s="364"/>
      <c r="E642" s="370"/>
      <c r="F642" s="359" t="s">
        <v>1309</v>
      </c>
      <c r="G642" s="353" t="s">
        <v>1228</v>
      </c>
      <c r="H642" s="364" t="s">
        <v>3765</v>
      </c>
      <c r="I642" s="371">
        <v>1</v>
      </c>
      <c r="J642" s="360">
        <v>0.33</v>
      </c>
      <c r="K642" s="361" t="s">
        <v>3764</v>
      </c>
      <c r="L642" s="368" t="s">
        <v>3490</v>
      </c>
    </row>
    <row r="643" spans="1:12">
      <c r="A643" s="353"/>
      <c r="B643" s="354"/>
      <c r="C643" s="17"/>
      <c r="D643" s="364"/>
      <c r="E643" s="370"/>
      <c r="F643" s="359" t="s">
        <v>1309</v>
      </c>
      <c r="G643" s="353" t="s">
        <v>1230</v>
      </c>
      <c r="H643" s="364" t="s">
        <v>3766</v>
      </c>
      <c r="I643" s="371">
        <v>3</v>
      </c>
      <c r="J643" s="360">
        <v>0.14000000000000001</v>
      </c>
      <c r="K643" s="461">
        <v>0.76</v>
      </c>
      <c r="L643" s="368" t="s">
        <v>3491</v>
      </c>
    </row>
    <row r="644" spans="1:12" ht="25.5">
      <c r="A644" s="353"/>
      <c r="B644" s="354"/>
      <c r="C644" s="17"/>
      <c r="D644" s="364"/>
      <c r="E644" s="370"/>
      <c r="F644" s="359" t="s">
        <v>1309</v>
      </c>
      <c r="G644" s="353" t="s">
        <v>1228</v>
      </c>
      <c r="H644" s="364" t="s">
        <v>3767</v>
      </c>
      <c r="I644" s="371">
        <v>2</v>
      </c>
      <c r="J644" s="360">
        <v>1.26</v>
      </c>
      <c r="K644" s="457" t="s">
        <v>3493</v>
      </c>
      <c r="L644" s="368" t="s">
        <v>3492</v>
      </c>
    </row>
    <row r="645" spans="1:12" ht="29.25">
      <c r="A645" s="102"/>
      <c r="B645" s="354"/>
      <c r="C645" s="17"/>
      <c r="D645" s="364" t="s">
        <v>2922</v>
      </c>
      <c r="E645" s="370" t="s">
        <v>1302</v>
      </c>
      <c r="F645" s="359"/>
      <c r="G645" s="353"/>
      <c r="H645" s="17"/>
      <c r="I645" s="371">
        <v>2</v>
      </c>
      <c r="J645" s="360">
        <v>0</v>
      </c>
      <c r="K645" s="361"/>
      <c r="L645" s="368" t="s">
        <v>1766</v>
      </c>
    </row>
    <row r="646" spans="1:12" ht="15">
      <c r="A646" s="102"/>
      <c r="B646" s="354"/>
      <c r="C646" s="17"/>
      <c r="D646" s="364"/>
      <c r="E646" s="370"/>
      <c r="F646" s="359" t="s">
        <v>1305</v>
      </c>
      <c r="G646" s="353" t="s">
        <v>1009</v>
      </c>
      <c r="H646" s="17" t="s">
        <v>3768</v>
      </c>
      <c r="I646" s="371">
        <v>1</v>
      </c>
      <c r="J646" s="360">
        <v>0.1</v>
      </c>
      <c r="K646" s="361"/>
      <c r="L646" s="368" t="s">
        <v>2245</v>
      </c>
    </row>
    <row r="647" spans="1:12" ht="15">
      <c r="A647" s="102"/>
      <c r="B647" s="354"/>
      <c r="C647" s="17"/>
      <c r="D647" s="364"/>
      <c r="E647" s="370"/>
      <c r="F647" s="359" t="s">
        <v>1317</v>
      </c>
      <c r="G647" s="353" t="s">
        <v>1157</v>
      </c>
      <c r="H647" s="17" t="s">
        <v>1338</v>
      </c>
      <c r="I647" s="371">
        <v>1</v>
      </c>
      <c r="J647" s="360">
        <v>1.1499999999999999</v>
      </c>
      <c r="K647" s="361" t="s">
        <v>3769</v>
      </c>
      <c r="L647" s="368" t="s">
        <v>2263</v>
      </c>
    </row>
    <row r="648" spans="1:12" ht="51.75">
      <c r="A648" s="102"/>
      <c r="B648" s="354"/>
      <c r="C648" s="17"/>
      <c r="D648" s="364"/>
      <c r="E648" s="370"/>
      <c r="F648" s="370" t="s">
        <v>2117</v>
      </c>
      <c r="G648" s="365" t="s">
        <v>1244</v>
      </c>
      <c r="H648" s="17"/>
      <c r="I648" s="371">
        <v>1</v>
      </c>
      <c r="J648" s="372">
        <v>0.8</v>
      </c>
      <c r="K648" s="457" t="s">
        <v>3502</v>
      </c>
      <c r="L648" s="368" t="s">
        <v>2265</v>
      </c>
    </row>
    <row r="649" spans="1:12" ht="28.5">
      <c r="A649" s="102"/>
      <c r="B649" s="354"/>
      <c r="C649" s="17"/>
      <c r="D649" s="364"/>
      <c r="E649" s="370"/>
      <c r="F649" s="370" t="s">
        <v>1317</v>
      </c>
      <c r="G649" s="365" t="s">
        <v>941</v>
      </c>
      <c r="H649" s="369" t="s">
        <v>3212</v>
      </c>
      <c r="I649" s="371">
        <v>1</v>
      </c>
      <c r="J649" s="372">
        <v>0.64800000000000002</v>
      </c>
      <c r="K649" s="373" t="s">
        <v>3494</v>
      </c>
      <c r="L649" s="368" t="s">
        <v>2406</v>
      </c>
    </row>
    <row r="650" spans="1:12" ht="15">
      <c r="A650" s="102"/>
      <c r="B650" s="354"/>
      <c r="C650" s="17"/>
      <c r="D650" s="364" t="s">
        <v>1767</v>
      </c>
      <c r="E650" s="370" t="s">
        <v>1302</v>
      </c>
      <c r="F650" s="359"/>
      <c r="G650" s="353"/>
      <c r="H650" s="17"/>
      <c r="I650" s="371">
        <v>1</v>
      </c>
      <c r="J650" s="372">
        <v>0</v>
      </c>
      <c r="K650" s="361"/>
      <c r="L650" s="368" t="s">
        <v>1768</v>
      </c>
    </row>
    <row r="651" spans="1:12" ht="15">
      <c r="A651" s="102"/>
      <c r="B651" s="354"/>
      <c r="C651" s="17"/>
      <c r="D651" s="364"/>
      <c r="E651" s="370"/>
      <c r="F651" s="359" t="s">
        <v>1305</v>
      </c>
      <c r="G651" s="353" t="s">
        <v>1009</v>
      </c>
      <c r="H651" s="17" t="s">
        <v>3496</v>
      </c>
      <c r="I651" s="371">
        <v>1</v>
      </c>
      <c r="J651" s="360">
        <v>0.58499999999999996</v>
      </c>
      <c r="K651" s="361" t="s">
        <v>3495</v>
      </c>
      <c r="L651" s="368" t="s">
        <v>2262</v>
      </c>
    </row>
    <row r="652" spans="1:12" ht="15">
      <c r="A652" s="102"/>
      <c r="B652" s="354"/>
      <c r="C652" s="17"/>
      <c r="D652" s="364"/>
      <c r="E652" s="370"/>
      <c r="F652" s="359" t="s">
        <v>1317</v>
      </c>
      <c r="G652" s="353" t="s">
        <v>1157</v>
      </c>
      <c r="H652" s="17" t="s">
        <v>1338</v>
      </c>
      <c r="I652" s="371">
        <v>1</v>
      </c>
      <c r="J652" s="360">
        <v>0.38</v>
      </c>
      <c r="K652" s="361" t="s">
        <v>3497</v>
      </c>
      <c r="L652" s="368" t="s">
        <v>2264</v>
      </c>
    </row>
    <row r="653" spans="1:12" ht="15">
      <c r="A653" s="102"/>
      <c r="B653" s="354"/>
      <c r="C653" s="17"/>
      <c r="D653" s="364"/>
      <c r="E653" s="370"/>
      <c r="F653" s="359" t="s">
        <v>1317</v>
      </c>
      <c r="G653" s="353" t="s">
        <v>941</v>
      </c>
      <c r="H653" s="17" t="s">
        <v>3211</v>
      </c>
      <c r="I653" s="371">
        <v>1</v>
      </c>
      <c r="J653" s="360">
        <v>0.31</v>
      </c>
      <c r="K653" s="361" t="s">
        <v>3498</v>
      </c>
      <c r="L653" s="368" t="s">
        <v>2407</v>
      </c>
    </row>
    <row r="654" spans="1:12" ht="15">
      <c r="A654" s="102"/>
      <c r="B654" s="354"/>
      <c r="C654" s="17"/>
      <c r="D654" s="364" t="s">
        <v>1932</v>
      </c>
      <c r="E654" s="370" t="s">
        <v>1302</v>
      </c>
      <c r="F654" s="359"/>
      <c r="G654" s="353"/>
      <c r="H654" s="17"/>
      <c r="I654" s="371">
        <v>8</v>
      </c>
      <c r="J654" s="360">
        <v>4.04</v>
      </c>
      <c r="K654" s="361"/>
      <c r="L654" s="368" t="s">
        <v>1933</v>
      </c>
    </row>
    <row r="655" spans="1:12" ht="15">
      <c r="A655" s="102"/>
      <c r="B655" s="354"/>
      <c r="C655" s="17"/>
      <c r="D655" s="364"/>
      <c r="E655" s="370"/>
      <c r="F655" s="359" t="s">
        <v>1305</v>
      </c>
      <c r="G655" s="353" t="s">
        <v>1009</v>
      </c>
      <c r="H655" s="17" t="s">
        <v>2114</v>
      </c>
      <c r="I655" s="371">
        <v>1</v>
      </c>
      <c r="J655" s="360">
        <v>0.02</v>
      </c>
      <c r="K655" s="361" t="s">
        <v>3770</v>
      </c>
      <c r="L655" s="368" t="s">
        <v>2113</v>
      </c>
    </row>
    <row r="656" spans="1:12" ht="15">
      <c r="A656" s="102"/>
      <c r="B656" s="354"/>
      <c r="C656" s="17"/>
      <c r="D656" s="364"/>
      <c r="E656" s="370"/>
      <c r="F656" s="359" t="s">
        <v>1317</v>
      </c>
      <c r="G656" s="353" t="s">
        <v>1156</v>
      </c>
      <c r="H656" s="17"/>
      <c r="I656" s="371">
        <v>1</v>
      </c>
      <c r="J656" s="360">
        <v>0.22</v>
      </c>
      <c r="K656" s="361" t="s">
        <v>3499</v>
      </c>
      <c r="L656" s="368" t="s">
        <v>2115</v>
      </c>
    </row>
    <row r="657" spans="1:12" ht="15">
      <c r="A657" s="102"/>
      <c r="B657" s="354"/>
      <c r="C657" s="17"/>
      <c r="D657" s="364"/>
      <c r="E657" s="370"/>
      <c r="F657" s="359" t="s">
        <v>1317</v>
      </c>
      <c r="G657" s="353" t="s">
        <v>941</v>
      </c>
      <c r="H657" s="17" t="s">
        <v>3211</v>
      </c>
      <c r="I657" s="371">
        <v>1</v>
      </c>
      <c r="J657" s="360">
        <v>0.36</v>
      </c>
      <c r="K657" s="361" t="s">
        <v>3500</v>
      </c>
      <c r="L657" s="368" t="s">
        <v>2116</v>
      </c>
    </row>
    <row r="658" spans="1:12" ht="51.75">
      <c r="A658" s="102"/>
      <c r="B658" s="354"/>
      <c r="C658" s="17"/>
      <c r="D658" s="364"/>
      <c r="E658" s="370"/>
      <c r="F658" s="359" t="s">
        <v>2117</v>
      </c>
      <c r="G658" s="353" t="s">
        <v>1244</v>
      </c>
      <c r="H658" s="17"/>
      <c r="I658" s="371">
        <v>1</v>
      </c>
      <c r="J658" s="360">
        <v>3.44</v>
      </c>
      <c r="K658" s="457" t="s">
        <v>3501</v>
      </c>
      <c r="L658" s="368" t="s">
        <v>2118</v>
      </c>
    </row>
    <row r="659" spans="1:12" ht="15">
      <c r="A659" s="102"/>
      <c r="B659" s="354"/>
      <c r="C659" s="17"/>
      <c r="D659" s="364" t="s">
        <v>1934</v>
      </c>
      <c r="E659" s="370" t="s">
        <v>1302</v>
      </c>
      <c r="F659" s="359"/>
      <c r="G659" s="353"/>
      <c r="H659" s="17"/>
      <c r="I659" s="371">
        <v>3</v>
      </c>
      <c r="J659" s="360">
        <v>0.13</v>
      </c>
      <c r="K659" s="361"/>
      <c r="L659" s="368" t="s">
        <v>1935</v>
      </c>
    </row>
    <row r="660" spans="1:12" ht="15">
      <c r="A660" s="102"/>
      <c r="B660" s="354"/>
      <c r="C660" s="17"/>
      <c r="D660" s="364"/>
      <c r="E660" s="370"/>
      <c r="F660" s="359" t="s">
        <v>1305</v>
      </c>
      <c r="G660" s="353" t="s">
        <v>1009</v>
      </c>
      <c r="H660" s="17" t="s">
        <v>2131</v>
      </c>
      <c r="I660" s="371">
        <v>1</v>
      </c>
      <c r="J660" s="360">
        <v>0.01</v>
      </c>
      <c r="K660" s="361" t="s">
        <v>3771</v>
      </c>
      <c r="L660" s="368" t="s">
        <v>2119</v>
      </c>
    </row>
    <row r="661" spans="1:12" ht="15">
      <c r="A661" s="102"/>
      <c r="B661" s="354"/>
      <c r="C661" s="17"/>
      <c r="D661" s="364"/>
      <c r="E661" s="370"/>
      <c r="F661" s="359" t="s">
        <v>1317</v>
      </c>
      <c r="G661" s="353" t="s">
        <v>1156</v>
      </c>
      <c r="H661" s="17"/>
      <c r="I661" s="371">
        <v>1</v>
      </c>
      <c r="J661" s="360">
        <v>0.05</v>
      </c>
      <c r="K661" s="361" t="s">
        <v>3772</v>
      </c>
      <c r="L661" s="368" t="s">
        <v>2120</v>
      </c>
    </row>
    <row r="662" spans="1:12" ht="15">
      <c r="A662" s="102"/>
      <c r="B662" s="354"/>
      <c r="C662" s="17"/>
      <c r="D662" s="364"/>
      <c r="E662" s="370"/>
      <c r="F662" s="359" t="s">
        <v>1317</v>
      </c>
      <c r="G662" s="353" t="s">
        <v>941</v>
      </c>
      <c r="H662" s="17" t="s">
        <v>3211</v>
      </c>
      <c r="I662" s="371">
        <v>1</v>
      </c>
      <c r="J662" s="360">
        <v>7.0000000000000007E-2</v>
      </c>
      <c r="K662" s="361" t="s">
        <v>3773</v>
      </c>
      <c r="L662" s="368" t="s">
        <v>2121</v>
      </c>
    </row>
    <row r="663" spans="1:12" ht="15">
      <c r="A663" s="102"/>
      <c r="B663" s="354"/>
      <c r="C663" s="17"/>
      <c r="D663" s="364" t="s">
        <v>1936</v>
      </c>
      <c r="E663" s="370" t="s">
        <v>1302</v>
      </c>
      <c r="F663" s="359"/>
      <c r="G663" s="353"/>
      <c r="H663" s="17"/>
      <c r="I663" s="371">
        <v>3</v>
      </c>
      <c r="J663" s="372">
        <v>0.15</v>
      </c>
      <c r="K663" s="373"/>
      <c r="L663" s="368" t="s">
        <v>1937</v>
      </c>
    </row>
    <row r="664" spans="1:12" ht="15">
      <c r="A664" s="102"/>
      <c r="B664" s="354"/>
      <c r="C664" s="17"/>
      <c r="D664" s="364"/>
      <c r="E664" s="370"/>
      <c r="F664" s="359" t="s">
        <v>1305</v>
      </c>
      <c r="G664" s="353" t="s">
        <v>1009</v>
      </c>
      <c r="H664" s="17" t="s">
        <v>3421</v>
      </c>
      <c r="I664" s="371">
        <v>1</v>
      </c>
      <c r="J664" s="360">
        <v>0.02</v>
      </c>
      <c r="K664" s="361" t="s">
        <v>3507</v>
      </c>
      <c r="L664" s="368" t="s">
        <v>2122</v>
      </c>
    </row>
    <row r="665" spans="1:12" ht="15">
      <c r="A665" s="102"/>
      <c r="B665" s="354"/>
      <c r="C665" s="17"/>
      <c r="D665" s="364"/>
      <c r="E665" s="370"/>
      <c r="F665" s="359" t="s">
        <v>1317</v>
      </c>
      <c r="G665" s="353" t="s">
        <v>1156</v>
      </c>
      <c r="H665" s="17"/>
      <c r="I665" s="371">
        <v>1</v>
      </c>
      <c r="J665" s="360">
        <v>0.06</v>
      </c>
      <c r="K665" s="361" t="s">
        <v>3504</v>
      </c>
      <c r="L665" s="368" t="s">
        <v>2124</v>
      </c>
    </row>
    <row r="666" spans="1:12" ht="15">
      <c r="A666" s="102"/>
      <c r="B666" s="354"/>
      <c r="C666" s="17"/>
      <c r="D666" s="364"/>
      <c r="E666" s="370"/>
      <c r="F666" s="359" t="s">
        <v>1317</v>
      </c>
      <c r="G666" s="353" t="s">
        <v>941</v>
      </c>
      <c r="H666" s="17" t="s">
        <v>2404</v>
      </c>
      <c r="I666" s="371">
        <v>1</v>
      </c>
      <c r="J666" s="360">
        <v>7.0000000000000007E-2</v>
      </c>
      <c r="K666" s="361" t="s">
        <v>3506</v>
      </c>
      <c r="L666" s="368" t="s">
        <v>2125</v>
      </c>
    </row>
    <row r="667" spans="1:12" ht="15">
      <c r="A667" s="102"/>
      <c r="B667" s="354"/>
      <c r="C667" s="17"/>
      <c r="D667" s="364" t="s">
        <v>1938</v>
      </c>
      <c r="E667" s="370" t="s">
        <v>1302</v>
      </c>
      <c r="F667" s="359"/>
      <c r="G667" s="353"/>
      <c r="H667" s="17"/>
      <c r="I667" s="371">
        <v>2</v>
      </c>
      <c r="J667" s="360">
        <v>3.57</v>
      </c>
      <c r="K667" s="361"/>
      <c r="L667" s="368" t="s">
        <v>1939</v>
      </c>
    </row>
    <row r="668" spans="1:12" ht="15">
      <c r="A668" s="102"/>
      <c r="B668" s="354"/>
      <c r="C668" s="17"/>
      <c r="D668" s="364"/>
      <c r="E668" s="370"/>
      <c r="F668" s="359" t="s">
        <v>1305</v>
      </c>
      <c r="G668" s="353" t="s">
        <v>1009</v>
      </c>
      <c r="H668" s="17" t="s">
        <v>2114</v>
      </c>
      <c r="I668" s="371">
        <v>1</v>
      </c>
      <c r="J668" s="360">
        <v>0.03</v>
      </c>
      <c r="K668" s="361" t="s">
        <v>3774</v>
      </c>
      <c r="L668" s="368" t="s">
        <v>2126</v>
      </c>
    </row>
    <row r="669" spans="1:12" ht="15">
      <c r="A669" s="102"/>
      <c r="B669" s="354"/>
      <c r="C669" s="17"/>
      <c r="D669" s="364"/>
      <c r="E669" s="370"/>
      <c r="F669" s="359" t="s">
        <v>1317</v>
      </c>
      <c r="G669" s="353" t="s">
        <v>1156</v>
      </c>
      <c r="H669" s="17"/>
      <c r="I669" s="371">
        <v>1</v>
      </c>
      <c r="J669" s="360">
        <v>0.25</v>
      </c>
      <c r="K669" s="361" t="s">
        <v>3505</v>
      </c>
      <c r="L669" s="368" t="s">
        <v>2127</v>
      </c>
    </row>
    <row r="670" spans="1:12" ht="15">
      <c r="A670" s="102"/>
      <c r="B670" s="354"/>
      <c r="C670" s="17"/>
      <c r="D670" s="364"/>
      <c r="E670" s="370"/>
      <c r="F670" s="359" t="s">
        <v>1317</v>
      </c>
      <c r="G670" s="353" t="s">
        <v>941</v>
      </c>
      <c r="H670" s="17" t="s">
        <v>3211</v>
      </c>
      <c r="I670" s="371">
        <v>1</v>
      </c>
      <c r="J670" s="360">
        <v>0.26</v>
      </c>
      <c r="K670" s="361" t="s">
        <v>3775</v>
      </c>
      <c r="L670" s="368" t="s">
        <v>2128</v>
      </c>
    </row>
    <row r="671" spans="1:12" ht="15">
      <c r="A671" s="102"/>
      <c r="B671" s="354"/>
      <c r="C671" s="17"/>
      <c r="D671" s="364"/>
      <c r="E671" s="370"/>
      <c r="F671" s="359" t="s">
        <v>2117</v>
      </c>
      <c r="G671" s="353" t="s">
        <v>1244</v>
      </c>
      <c r="H671" s="17"/>
      <c r="I671" s="371">
        <v>1</v>
      </c>
      <c r="J671" s="360"/>
      <c r="K671" s="361" t="s">
        <v>3776</v>
      </c>
      <c r="L671" s="368" t="s">
        <v>2129</v>
      </c>
    </row>
    <row r="672" spans="1:12" ht="15">
      <c r="A672" s="102"/>
      <c r="B672" s="354"/>
      <c r="C672" s="17"/>
      <c r="D672" s="364" t="s">
        <v>1940</v>
      </c>
      <c r="E672" s="370" t="s">
        <v>1302</v>
      </c>
      <c r="F672" s="359"/>
      <c r="G672" s="353"/>
      <c r="H672" s="17"/>
      <c r="I672" s="371">
        <v>6</v>
      </c>
      <c r="J672" s="360">
        <v>0.12</v>
      </c>
      <c r="K672" s="361"/>
      <c r="L672" s="368" t="s">
        <v>1941</v>
      </c>
    </row>
    <row r="673" spans="1:12" ht="15">
      <c r="A673" s="102"/>
      <c r="B673" s="354"/>
      <c r="C673" s="17"/>
      <c r="D673" s="364"/>
      <c r="E673" s="370"/>
      <c r="F673" s="359" t="s">
        <v>1305</v>
      </c>
      <c r="G673" s="353" t="s">
        <v>1009</v>
      </c>
      <c r="H673" s="17" t="s">
        <v>2131</v>
      </c>
      <c r="I673" s="371">
        <v>1</v>
      </c>
      <c r="J673" s="360">
        <v>0.01</v>
      </c>
      <c r="K673" s="361" t="s">
        <v>3777</v>
      </c>
      <c r="L673" s="368" t="s">
        <v>2130</v>
      </c>
    </row>
    <row r="674" spans="1:12" ht="15">
      <c r="A674" s="102"/>
      <c r="B674" s="354"/>
      <c r="C674" s="17"/>
      <c r="D674" s="364"/>
      <c r="E674" s="370"/>
      <c r="F674" s="359" t="s">
        <v>1317</v>
      </c>
      <c r="G674" s="353" t="s">
        <v>1156</v>
      </c>
      <c r="H674" s="17"/>
      <c r="I674" s="371">
        <v>1</v>
      </c>
      <c r="J674" s="360">
        <v>0.05</v>
      </c>
      <c r="K674" s="361" t="s">
        <v>3778</v>
      </c>
      <c r="L674" s="368" t="s">
        <v>2132</v>
      </c>
    </row>
    <row r="675" spans="1:12" ht="15">
      <c r="A675" s="102"/>
      <c r="B675" s="354"/>
      <c r="C675" s="17"/>
      <c r="D675" s="364"/>
      <c r="E675" s="370"/>
      <c r="F675" s="359" t="s">
        <v>1317</v>
      </c>
      <c r="G675" s="353" t="s">
        <v>941</v>
      </c>
      <c r="H675" s="17" t="s">
        <v>3211</v>
      </c>
      <c r="I675" s="371">
        <v>1</v>
      </c>
      <c r="J675" s="360">
        <v>0.06</v>
      </c>
      <c r="K675" s="361" t="s">
        <v>3779</v>
      </c>
      <c r="L675" s="368" t="s">
        <v>2133</v>
      </c>
    </row>
    <row r="676" spans="1:12" ht="15">
      <c r="A676" s="102"/>
      <c r="B676" s="354"/>
      <c r="C676" s="17"/>
      <c r="D676" s="364" t="s">
        <v>1942</v>
      </c>
      <c r="E676" s="370" t="s">
        <v>1302</v>
      </c>
      <c r="F676" s="359"/>
      <c r="G676" s="353"/>
      <c r="H676" s="17"/>
      <c r="I676" s="371">
        <v>24</v>
      </c>
      <c r="J676" s="360">
        <v>10.87</v>
      </c>
      <c r="K676" s="361"/>
      <c r="L676" s="368" t="s">
        <v>1943</v>
      </c>
    </row>
    <row r="677" spans="1:12" ht="15">
      <c r="A677" s="102"/>
      <c r="B677" s="354"/>
      <c r="C677" s="17"/>
      <c r="D677" s="364"/>
      <c r="E677" s="370"/>
      <c r="F677" s="359" t="s">
        <v>1305</v>
      </c>
      <c r="G677" s="353" t="s">
        <v>1009</v>
      </c>
      <c r="H677" s="17" t="s">
        <v>2114</v>
      </c>
      <c r="I677" s="371">
        <v>30</v>
      </c>
      <c r="J677" s="360">
        <v>0.06</v>
      </c>
      <c r="K677" s="361" t="s">
        <v>3780</v>
      </c>
      <c r="L677" s="368" t="s">
        <v>2134</v>
      </c>
    </row>
    <row r="678" spans="1:12" ht="15">
      <c r="A678" s="102"/>
      <c r="B678" s="354"/>
      <c r="C678" s="17"/>
      <c r="D678" s="364"/>
      <c r="E678" s="370"/>
      <c r="F678" s="359" t="s">
        <v>1317</v>
      </c>
      <c r="G678" s="353" t="s">
        <v>1156</v>
      </c>
      <c r="H678" s="17"/>
      <c r="I678" s="371">
        <v>30</v>
      </c>
      <c r="J678" s="360">
        <v>0.3</v>
      </c>
      <c r="K678" s="361" t="s">
        <v>3781</v>
      </c>
      <c r="L678" s="368" t="s">
        <v>2135</v>
      </c>
    </row>
    <row r="679" spans="1:12" ht="15">
      <c r="A679" s="102"/>
      <c r="B679" s="354"/>
      <c r="C679" s="17"/>
      <c r="D679" s="364"/>
      <c r="E679" s="370"/>
      <c r="F679" s="359" t="s">
        <v>1317</v>
      </c>
      <c r="G679" s="353" t="s">
        <v>941</v>
      </c>
      <c r="H679" s="17" t="s">
        <v>3211</v>
      </c>
      <c r="I679" s="371">
        <v>30</v>
      </c>
      <c r="J679" s="360">
        <v>0.15</v>
      </c>
      <c r="K679" s="361" t="s">
        <v>3783</v>
      </c>
      <c r="L679" s="368" t="s">
        <v>2136</v>
      </c>
    </row>
    <row r="680" spans="1:12" ht="15">
      <c r="A680" s="102"/>
      <c r="B680" s="354"/>
      <c r="C680" s="17"/>
      <c r="D680" s="364"/>
      <c r="E680" s="370"/>
      <c r="F680" s="359" t="s">
        <v>2117</v>
      </c>
      <c r="G680" s="353" t="s">
        <v>1244</v>
      </c>
      <c r="H680" s="17"/>
      <c r="I680" s="371">
        <v>1</v>
      </c>
      <c r="J680" s="360">
        <v>3.09</v>
      </c>
      <c r="K680" s="361" t="s">
        <v>3782</v>
      </c>
      <c r="L680" s="368" t="s">
        <v>2137</v>
      </c>
    </row>
    <row r="681" spans="1:12" ht="15">
      <c r="A681" s="102"/>
      <c r="B681" s="354"/>
      <c r="C681" s="17"/>
      <c r="D681" s="364" t="s">
        <v>1945</v>
      </c>
      <c r="E681" s="370" t="s">
        <v>1302</v>
      </c>
      <c r="F681" s="359"/>
      <c r="G681" s="353"/>
      <c r="H681" s="17"/>
      <c r="I681" s="371">
        <v>2</v>
      </c>
      <c r="J681" s="360">
        <v>2.5</v>
      </c>
      <c r="K681" s="361"/>
      <c r="L681" s="368" t="s">
        <v>1944</v>
      </c>
    </row>
    <row r="682" spans="1:12" ht="15">
      <c r="A682" s="102"/>
      <c r="B682" s="354"/>
      <c r="C682" s="17"/>
      <c r="D682" s="364"/>
      <c r="E682" s="370"/>
      <c r="F682" s="359" t="s">
        <v>1305</v>
      </c>
      <c r="G682" s="353" t="s">
        <v>1009</v>
      </c>
      <c r="H682" s="17" t="s">
        <v>2114</v>
      </c>
      <c r="I682" s="371">
        <v>4</v>
      </c>
      <c r="J682" s="360">
        <v>0.01</v>
      </c>
      <c r="K682" s="361" t="s">
        <v>3784</v>
      </c>
      <c r="L682" s="368" t="s">
        <v>2138</v>
      </c>
    </row>
    <row r="683" spans="1:12" ht="15">
      <c r="A683" s="102"/>
      <c r="B683" s="354"/>
      <c r="C683" s="17"/>
      <c r="D683" s="364"/>
      <c r="E683" s="370"/>
      <c r="F683" s="359" t="s">
        <v>1317</v>
      </c>
      <c r="G683" s="353" t="s">
        <v>1156</v>
      </c>
      <c r="H683" s="17"/>
      <c r="I683" s="371">
        <v>4</v>
      </c>
      <c r="J683" s="360">
        <v>0.3</v>
      </c>
      <c r="K683" s="361" t="s">
        <v>3785</v>
      </c>
      <c r="L683" s="368" t="s">
        <v>2139</v>
      </c>
    </row>
    <row r="684" spans="1:12" ht="15">
      <c r="A684" s="102"/>
      <c r="B684" s="354"/>
      <c r="C684" s="17"/>
      <c r="D684" s="364"/>
      <c r="E684" s="370"/>
      <c r="F684" s="359" t="s">
        <v>1317</v>
      </c>
      <c r="G684" s="353" t="s">
        <v>941</v>
      </c>
      <c r="H684" s="17" t="s">
        <v>3211</v>
      </c>
      <c r="I684" s="371">
        <v>4</v>
      </c>
      <c r="J684" s="360">
        <v>0.16</v>
      </c>
      <c r="K684" s="361" t="s">
        <v>3786</v>
      </c>
      <c r="L684" s="368" t="s">
        <v>2140</v>
      </c>
    </row>
    <row r="685" spans="1:12" ht="15">
      <c r="A685" s="102"/>
      <c r="B685" s="354"/>
      <c r="C685" s="17"/>
      <c r="D685" s="364"/>
      <c r="E685" s="370"/>
      <c r="F685" s="359" t="s">
        <v>2117</v>
      </c>
      <c r="G685" s="353" t="s">
        <v>1244</v>
      </c>
      <c r="H685" s="17"/>
      <c r="I685" s="371">
        <v>1</v>
      </c>
      <c r="J685" s="360">
        <v>0.66</v>
      </c>
      <c r="K685" s="361" t="s">
        <v>3787</v>
      </c>
      <c r="L685" s="368" t="s">
        <v>2141</v>
      </c>
    </row>
    <row r="686" spans="1:12" ht="15">
      <c r="A686" s="102"/>
      <c r="B686" s="354"/>
      <c r="C686" s="17"/>
      <c r="D686" s="364" t="s">
        <v>1946</v>
      </c>
      <c r="E686" s="370" t="s">
        <v>1302</v>
      </c>
      <c r="F686" s="359"/>
      <c r="G686" s="353"/>
      <c r="H686" s="17"/>
      <c r="I686" s="371">
        <v>2</v>
      </c>
      <c r="J686" s="360">
        <v>2.66</v>
      </c>
      <c r="K686" s="361"/>
      <c r="L686" s="368" t="s">
        <v>1947</v>
      </c>
    </row>
    <row r="687" spans="1:12" ht="15">
      <c r="A687" s="102"/>
      <c r="B687" s="354"/>
      <c r="C687" s="17"/>
      <c r="D687" s="364"/>
      <c r="E687" s="370"/>
      <c r="F687" s="359" t="s">
        <v>1305</v>
      </c>
      <c r="G687" s="353" t="s">
        <v>1009</v>
      </c>
      <c r="H687" s="17" t="s">
        <v>2114</v>
      </c>
      <c r="I687" s="371">
        <v>4</v>
      </c>
      <c r="J687" s="360">
        <v>0.01</v>
      </c>
      <c r="K687" s="361" t="s">
        <v>3788</v>
      </c>
      <c r="L687" s="368" t="s">
        <v>2142</v>
      </c>
    </row>
    <row r="688" spans="1:12" ht="15">
      <c r="A688" s="102"/>
      <c r="B688" s="354"/>
      <c r="C688" s="17"/>
      <c r="D688" s="364"/>
      <c r="E688" s="370"/>
      <c r="F688" s="359" t="s">
        <v>1317</v>
      </c>
      <c r="G688" s="353" t="s">
        <v>1156</v>
      </c>
      <c r="H688" s="17"/>
      <c r="I688" s="371">
        <v>4</v>
      </c>
      <c r="J688" s="360">
        <v>0.24</v>
      </c>
      <c r="K688" s="361" t="s">
        <v>3789</v>
      </c>
      <c r="L688" s="368" t="s">
        <v>2143</v>
      </c>
    </row>
    <row r="689" spans="1:12" ht="15">
      <c r="A689" s="102"/>
      <c r="B689" s="354"/>
      <c r="C689" s="17"/>
      <c r="D689" s="364"/>
      <c r="E689" s="370"/>
      <c r="F689" s="359" t="s">
        <v>1317</v>
      </c>
      <c r="G689" s="353" t="s">
        <v>941</v>
      </c>
      <c r="H689" s="17" t="s">
        <v>3211</v>
      </c>
      <c r="I689" s="371">
        <v>4</v>
      </c>
      <c r="J689" s="360">
        <v>0.12</v>
      </c>
      <c r="K689" s="361" t="s">
        <v>3790</v>
      </c>
      <c r="L689" s="368" t="s">
        <v>2144</v>
      </c>
    </row>
    <row r="690" spans="1:12" ht="15">
      <c r="A690" s="102"/>
      <c r="B690" s="354"/>
      <c r="C690" s="17"/>
      <c r="D690" s="364"/>
      <c r="E690" s="370"/>
      <c r="F690" s="359" t="s">
        <v>2117</v>
      </c>
      <c r="G690" s="353" t="s">
        <v>1244</v>
      </c>
      <c r="H690" s="17"/>
      <c r="I690" s="371">
        <v>1</v>
      </c>
      <c r="J690" s="360"/>
      <c r="K690" s="361" t="s">
        <v>3791</v>
      </c>
      <c r="L690" s="368" t="s">
        <v>2145</v>
      </c>
    </row>
    <row r="691" spans="1:12" ht="15">
      <c r="A691" s="102"/>
      <c r="B691" s="354"/>
      <c r="C691" s="17"/>
      <c r="D691" s="364" t="s">
        <v>1948</v>
      </c>
      <c r="E691" s="370" t="s">
        <v>1302</v>
      </c>
      <c r="F691" s="359"/>
      <c r="G691" s="353"/>
      <c r="H691" s="17"/>
      <c r="I691" s="371">
        <v>2</v>
      </c>
      <c r="J691" s="360">
        <v>0.18</v>
      </c>
      <c r="K691" s="361"/>
      <c r="L691" s="368" t="s">
        <v>1949</v>
      </c>
    </row>
    <row r="692" spans="1:12" ht="15">
      <c r="A692" s="102"/>
      <c r="B692" s="354"/>
      <c r="C692" s="17"/>
      <c r="D692" s="364"/>
      <c r="E692" s="370"/>
      <c r="F692" s="359" t="s">
        <v>1305</v>
      </c>
      <c r="G692" s="353" t="s">
        <v>1009</v>
      </c>
      <c r="H692" s="17" t="s">
        <v>2147</v>
      </c>
      <c r="I692" s="371">
        <v>1</v>
      </c>
      <c r="J692" s="360">
        <v>0.02</v>
      </c>
      <c r="K692" s="361" t="s">
        <v>3794</v>
      </c>
      <c r="L692" s="368" t="s">
        <v>2168</v>
      </c>
    </row>
    <row r="693" spans="1:12" ht="15">
      <c r="A693" s="102"/>
      <c r="B693" s="354"/>
      <c r="C693" s="17"/>
      <c r="D693" s="364"/>
      <c r="E693" s="370"/>
      <c r="F693" s="359" t="s">
        <v>1317</v>
      </c>
      <c r="G693" s="353" t="s">
        <v>1156</v>
      </c>
      <c r="H693" s="17"/>
      <c r="I693" s="371">
        <v>1</v>
      </c>
      <c r="J693" s="360">
        <v>0.1</v>
      </c>
      <c r="K693" s="361" t="s">
        <v>3793</v>
      </c>
      <c r="L693" s="368" t="s">
        <v>2169</v>
      </c>
    </row>
    <row r="694" spans="1:12" ht="15">
      <c r="A694" s="102"/>
      <c r="B694" s="354"/>
      <c r="C694" s="17"/>
      <c r="D694" s="364"/>
      <c r="E694" s="370"/>
      <c r="F694" s="359" t="s">
        <v>1317</v>
      </c>
      <c r="G694" s="353" t="s">
        <v>941</v>
      </c>
      <c r="H694" s="17" t="s">
        <v>3211</v>
      </c>
      <c r="I694" s="371">
        <v>1</v>
      </c>
      <c r="J694" s="360">
        <v>0.06</v>
      </c>
      <c r="K694" s="361" t="s">
        <v>3792</v>
      </c>
      <c r="L694" s="368" t="s">
        <v>2170</v>
      </c>
    </row>
    <row r="695" spans="1:12" ht="15">
      <c r="A695" s="102"/>
      <c r="B695" s="354"/>
      <c r="C695" s="17"/>
      <c r="D695" s="364" t="s">
        <v>2083</v>
      </c>
      <c r="E695" s="370" t="s">
        <v>1302</v>
      </c>
      <c r="F695" s="359"/>
      <c r="G695" s="353"/>
      <c r="H695" s="17"/>
      <c r="I695" s="371">
        <v>2</v>
      </c>
      <c r="J695" s="360">
        <v>0.26</v>
      </c>
      <c r="K695" s="361"/>
      <c r="L695" s="368" t="s">
        <v>2084</v>
      </c>
    </row>
    <row r="696" spans="1:12" ht="15">
      <c r="A696" s="102"/>
      <c r="B696" s="354"/>
      <c r="C696" s="17"/>
      <c r="D696" s="364"/>
      <c r="E696" s="370"/>
      <c r="F696" s="359" t="s">
        <v>1305</v>
      </c>
      <c r="G696" s="353" t="s">
        <v>1009</v>
      </c>
      <c r="H696" s="17" t="s">
        <v>2147</v>
      </c>
      <c r="I696" s="371">
        <v>1</v>
      </c>
      <c r="J696" s="360">
        <v>0.02</v>
      </c>
      <c r="K696" s="361" t="s">
        <v>3795</v>
      </c>
      <c r="L696" s="368" t="s">
        <v>2146</v>
      </c>
    </row>
    <row r="697" spans="1:12" ht="15">
      <c r="A697" s="102"/>
      <c r="B697" s="354"/>
      <c r="C697" s="17"/>
      <c r="D697" s="364"/>
      <c r="E697" s="370"/>
      <c r="F697" s="359" t="s">
        <v>1317</v>
      </c>
      <c r="G697" s="353" t="s">
        <v>1156</v>
      </c>
      <c r="H697" s="17"/>
      <c r="I697" s="371">
        <v>1</v>
      </c>
      <c r="J697" s="360">
        <v>0.15</v>
      </c>
      <c r="K697" s="361" t="s">
        <v>3796</v>
      </c>
      <c r="L697" s="368" t="s">
        <v>2148</v>
      </c>
    </row>
    <row r="698" spans="1:12" ht="15">
      <c r="A698" s="102"/>
      <c r="B698" s="354"/>
      <c r="C698" s="17"/>
      <c r="D698" s="364"/>
      <c r="E698" s="370"/>
      <c r="F698" s="359" t="s">
        <v>1317</v>
      </c>
      <c r="G698" s="353" t="s">
        <v>941</v>
      </c>
      <c r="H698" s="17" t="s">
        <v>3211</v>
      </c>
      <c r="I698" s="371">
        <v>1</v>
      </c>
      <c r="J698" s="360">
        <v>0.09</v>
      </c>
      <c r="K698" s="361" t="s">
        <v>3797</v>
      </c>
      <c r="L698" s="368" t="s">
        <v>2149</v>
      </c>
    </row>
    <row r="699" spans="1:12" ht="15">
      <c r="A699" s="102"/>
      <c r="B699" s="354"/>
      <c r="C699" s="17"/>
      <c r="D699" s="364" t="s">
        <v>2085</v>
      </c>
      <c r="E699" s="370" t="s">
        <v>1302</v>
      </c>
      <c r="F699" s="359"/>
      <c r="G699" s="353"/>
      <c r="H699" s="17"/>
      <c r="I699" s="371">
        <v>4</v>
      </c>
      <c r="J699" s="360">
        <v>0.12</v>
      </c>
      <c r="K699" s="361"/>
      <c r="L699" s="368" t="s">
        <v>2086</v>
      </c>
    </row>
    <row r="700" spans="1:12" ht="15">
      <c r="A700" s="102"/>
      <c r="B700" s="354"/>
      <c r="C700" s="17"/>
      <c r="D700" s="364"/>
      <c r="E700" s="370"/>
      <c r="F700" s="359" t="s">
        <v>1305</v>
      </c>
      <c r="G700" s="353" t="s">
        <v>1009</v>
      </c>
      <c r="H700" s="17" t="s">
        <v>2123</v>
      </c>
      <c r="I700" s="371">
        <v>1</v>
      </c>
      <c r="J700" s="360">
        <v>0.01</v>
      </c>
      <c r="K700" s="361" t="s">
        <v>3798</v>
      </c>
      <c r="L700" s="368" t="s">
        <v>2150</v>
      </c>
    </row>
    <row r="701" spans="1:12" ht="15">
      <c r="A701" s="102"/>
      <c r="B701" s="354"/>
      <c r="C701" s="17"/>
      <c r="D701" s="364"/>
      <c r="E701" s="370"/>
      <c r="F701" s="359" t="s">
        <v>1317</v>
      </c>
      <c r="G701" s="353" t="s">
        <v>1156</v>
      </c>
      <c r="H701" s="17"/>
      <c r="I701" s="371">
        <v>1</v>
      </c>
      <c r="J701" s="360">
        <v>0.06</v>
      </c>
      <c r="K701" s="361" t="s">
        <v>3799</v>
      </c>
      <c r="L701" s="368" t="s">
        <v>2151</v>
      </c>
    </row>
    <row r="702" spans="1:12" ht="15">
      <c r="A702" s="102"/>
      <c r="B702" s="354"/>
      <c r="C702" s="17"/>
      <c r="D702" s="364"/>
      <c r="E702" s="370"/>
      <c r="F702" s="359" t="s">
        <v>1317</v>
      </c>
      <c r="G702" s="353" t="s">
        <v>941</v>
      </c>
      <c r="H702" s="17" t="s">
        <v>3211</v>
      </c>
      <c r="I702" s="371">
        <v>1</v>
      </c>
      <c r="J702" s="360">
        <v>0.05</v>
      </c>
      <c r="K702" s="361" t="s">
        <v>3779</v>
      </c>
      <c r="L702" s="368" t="s">
        <v>2152</v>
      </c>
    </row>
    <row r="703" spans="1:12" ht="15">
      <c r="A703" s="102"/>
      <c r="B703" s="354"/>
      <c r="C703" s="17"/>
      <c r="D703" s="364" t="s">
        <v>2109</v>
      </c>
      <c r="E703" s="370" t="s">
        <v>1302</v>
      </c>
      <c r="F703" s="359"/>
      <c r="G703" s="353"/>
      <c r="H703" s="17"/>
      <c r="I703" s="371">
        <v>2</v>
      </c>
      <c r="J703" s="360">
        <v>0.1</v>
      </c>
      <c r="K703" s="361"/>
      <c r="L703" s="368" t="s">
        <v>2110</v>
      </c>
    </row>
    <row r="704" spans="1:12" ht="15">
      <c r="A704" s="102"/>
      <c r="B704" s="354"/>
      <c r="C704" s="17"/>
      <c r="D704" s="364"/>
      <c r="E704" s="370"/>
      <c r="F704" s="359" t="s">
        <v>1305</v>
      </c>
      <c r="G704" s="353" t="s">
        <v>1009</v>
      </c>
      <c r="H704" s="17" t="s">
        <v>2131</v>
      </c>
      <c r="I704" s="371">
        <v>1</v>
      </c>
      <c r="J704" s="360">
        <v>0.01</v>
      </c>
      <c r="K704" s="361" t="s">
        <v>3798</v>
      </c>
      <c r="L704" s="368" t="s">
        <v>2153</v>
      </c>
    </row>
    <row r="705" spans="1:12" ht="15">
      <c r="A705" s="102"/>
      <c r="B705" s="354"/>
      <c r="C705" s="17"/>
      <c r="D705" s="364"/>
      <c r="E705" s="370"/>
      <c r="F705" s="359" t="s">
        <v>1317</v>
      </c>
      <c r="G705" s="353" t="s">
        <v>1156</v>
      </c>
      <c r="H705" s="17"/>
      <c r="I705" s="371">
        <v>1</v>
      </c>
      <c r="J705" s="360">
        <v>0.03</v>
      </c>
      <c r="K705" s="361" t="s">
        <v>3799</v>
      </c>
      <c r="L705" s="368" t="s">
        <v>2154</v>
      </c>
    </row>
    <row r="706" spans="1:12" ht="15">
      <c r="A706" s="102"/>
      <c r="B706" s="354"/>
      <c r="C706" s="17"/>
      <c r="D706" s="364"/>
      <c r="E706" s="370"/>
      <c r="F706" s="359" t="s">
        <v>1317</v>
      </c>
      <c r="G706" s="353" t="s">
        <v>941</v>
      </c>
      <c r="H706" s="17" t="s">
        <v>3211</v>
      </c>
      <c r="I706" s="371">
        <v>1</v>
      </c>
      <c r="J706" s="360">
        <v>0.06</v>
      </c>
      <c r="K706" s="361" t="s">
        <v>3779</v>
      </c>
      <c r="L706" s="368" t="s">
        <v>2155</v>
      </c>
    </row>
    <row r="707" spans="1:12" ht="15">
      <c r="A707" s="102"/>
      <c r="B707" s="354"/>
      <c r="C707" s="17"/>
      <c r="D707" s="364" t="s">
        <v>2111</v>
      </c>
      <c r="E707" s="370" t="s">
        <v>1302</v>
      </c>
      <c r="F707" s="359"/>
      <c r="G707" s="353"/>
      <c r="H707" s="17"/>
      <c r="I707" s="371">
        <v>2</v>
      </c>
      <c r="J707" s="360">
        <v>0.15</v>
      </c>
      <c r="K707" s="361"/>
      <c r="L707" s="368" t="s">
        <v>2112</v>
      </c>
    </row>
    <row r="708" spans="1:12" ht="15">
      <c r="A708" s="102"/>
      <c r="B708" s="354"/>
      <c r="C708" s="17"/>
      <c r="D708" s="364"/>
      <c r="E708" s="370"/>
      <c r="F708" s="359" t="s">
        <v>1305</v>
      </c>
      <c r="G708" s="353" t="s">
        <v>1009</v>
      </c>
      <c r="H708" s="17" t="s">
        <v>2123</v>
      </c>
      <c r="I708" s="371">
        <v>1</v>
      </c>
      <c r="J708" s="360">
        <v>0.01</v>
      </c>
      <c r="K708" s="361" t="s">
        <v>3800</v>
      </c>
      <c r="L708" s="368" t="s">
        <v>2171</v>
      </c>
    </row>
    <row r="709" spans="1:12" ht="15">
      <c r="A709" s="102"/>
      <c r="B709" s="354"/>
      <c r="C709" s="17"/>
      <c r="D709" s="364"/>
      <c r="E709" s="370"/>
      <c r="F709" s="359" t="s">
        <v>1317</v>
      </c>
      <c r="G709" s="353" t="s">
        <v>1156</v>
      </c>
      <c r="H709" s="17"/>
      <c r="I709" s="371">
        <v>1</v>
      </c>
      <c r="J709" s="360">
        <v>0.06</v>
      </c>
      <c r="K709" s="361" t="s">
        <v>3801</v>
      </c>
      <c r="L709" s="368" t="s">
        <v>2172</v>
      </c>
    </row>
    <row r="710" spans="1:12" ht="15">
      <c r="A710" s="102"/>
      <c r="B710" s="354"/>
      <c r="C710" s="17"/>
      <c r="D710" s="364"/>
      <c r="E710" s="370"/>
      <c r="F710" s="359" t="s">
        <v>1317</v>
      </c>
      <c r="G710" s="353" t="s">
        <v>941</v>
      </c>
      <c r="H710" s="17" t="s">
        <v>3211</v>
      </c>
      <c r="I710" s="371">
        <v>1</v>
      </c>
      <c r="J710" s="360">
        <v>0.08</v>
      </c>
      <c r="K710" s="361" t="s">
        <v>3802</v>
      </c>
      <c r="L710" s="368" t="s">
        <v>2173</v>
      </c>
    </row>
    <row r="711" spans="1:12" ht="15">
      <c r="A711" s="102"/>
      <c r="B711" s="354"/>
      <c r="C711" s="17"/>
      <c r="D711" s="364" t="s">
        <v>2259</v>
      </c>
      <c r="E711" s="370" t="s">
        <v>1302</v>
      </c>
      <c r="F711" s="359"/>
      <c r="G711" s="353"/>
      <c r="H711" s="17"/>
      <c r="I711" s="371">
        <v>1</v>
      </c>
      <c r="J711" s="360">
        <v>2.13</v>
      </c>
      <c r="K711" s="361"/>
      <c r="L711" s="368" t="s">
        <v>2260</v>
      </c>
    </row>
    <row r="712" spans="1:12" ht="15">
      <c r="A712" s="102"/>
      <c r="B712" s="354"/>
      <c r="C712" s="17"/>
      <c r="D712" s="364"/>
      <c r="E712" s="370"/>
      <c r="F712" s="359" t="s">
        <v>1305</v>
      </c>
      <c r="G712" s="353" t="s">
        <v>1009</v>
      </c>
      <c r="H712" s="17" t="s">
        <v>2697</v>
      </c>
      <c r="I712" s="371">
        <v>1</v>
      </c>
      <c r="J712" s="360">
        <v>0.67</v>
      </c>
      <c r="K712" s="361" t="s">
        <v>3803</v>
      </c>
      <c r="L712" s="368" t="s">
        <v>2261</v>
      </c>
    </row>
    <row r="713" spans="1:12" ht="15">
      <c r="A713" s="102"/>
      <c r="B713" s="354"/>
      <c r="C713" s="17"/>
      <c r="D713" s="364"/>
      <c r="E713" s="370"/>
      <c r="F713" s="359" t="s">
        <v>1317</v>
      </c>
      <c r="G713" s="353" t="s">
        <v>1157</v>
      </c>
      <c r="H713" s="17" t="s">
        <v>2268</v>
      </c>
      <c r="I713" s="371">
        <v>1</v>
      </c>
      <c r="J713" s="360">
        <v>1.1499999999999999</v>
      </c>
      <c r="K713" s="361" t="s">
        <v>3804</v>
      </c>
      <c r="L713" s="368" t="s">
        <v>2267</v>
      </c>
    </row>
    <row r="714" spans="1:12" ht="15">
      <c r="A714" s="102"/>
      <c r="B714" s="354"/>
      <c r="C714" s="17"/>
      <c r="D714" s="364"/>
      <c r="E714" s="370"/>
      <c r="F714" s="359" t="s">
        <v>1317</v>
      </c>
      <c r="G714" s="353" t="s">
        <v>941</v>
      </c>
      <c r="H714" s="17" t="s">
        <v>3211</v>
      </c>
      <c r="I714" s="371">
        <v>1</v>
      </c>
      <c r="J714" s="360">
        <v>0.31</v>
      </c>
      <c r="K714" s="361" t="s">
        <v>3805</v>
      </c>
      <c r="L714" s="368" t="s">
        <v>2408</v>
      </c>
    </row>
    <row r="715" spans="1:12" ht="29.25">
      <c r="A715" s="102"/>
      <c r="B715" s="354"/>
      <c r="C715" s="17"/>
      <c r="D715" s="364" t="s">
        <v>2692</v>
      </c>
      <c r="E715" s="370" t="s">
        <v>1302</v>
      </c>
      <c r="F715" s="359"/>
      <c r="G715" s="353"/>
      <c r="H715" s="17"/>
      <c r="I715" s="371">
        <v>3</v>
      </c>
      <c r="J715" s="360">
        <v>2.78</v>
      </c>
      <c r="K715" s="361"/>
      <c r="L715" s="368" t="s">
        <v>2691</v>
      </c>
    </row>
    <row r="716" spans="1:12" ht="15">
      <c r="A716" s="102"/>
      <c r="B716" s="354"/>
      <c r="C716" s="17"/>
      <c r="D716" s="364"/>
      <c r="E716" s="370"/>
      <c r="F716" s="359" t="s">
        <v>1305</v>
      </c>
      <c r="G716" s="353" t="s">
        <v>1009</v>
      </c>
      <c r="H716" s="17" t="s">
        <v>2694</v>
      </c>
      <c r="I716" s="371">
        <v>1</v>
      </c>
      <c r="J716" s="360">
        <v>0.11</v>
      </c>
      <c r="K716" s="361" t="s">
        <v>3807</v>
      </c>
      <c r="L716" s="368" t="s">
        <v>2693</v>
      </c>
    </row>
    <row r="717" spans="1:12" ht="15">
      <c r="A717" s="102"/>
      <c r="B717" s="354"/>
      <c r="C717" s="17"/>
      <c r="D717" s="364"/>
      <c r="E717" s="370"/>
      <c r="F717" s="359" t="s">
        <v>1317</v>
      </c>
      <c r="G717" s="353" t="s">
        <v>1156</v>
      </c>
      <c r="H717" s="17"/>
      <c r="I717" s="371">
        <v>1</v>
      </c>
      <c r="J717" s="360">
        <v>2.48</v>
      </c>
      <c r="K717" s="361" t="s">
        <v>3806</v>
      </c>
      <c r="L717" s="368" t="s">
        <v>2695</v>
      </c>
    </row>
    <row r="718" spans="1:12" ht="15">
      <c r="A718" s="102"/>
      <c r="B718" s="354"/>
      <c r="C718" s="17"/>
      <c r="D718" s="364"/>
      <c r="E718" s="370"/>
      <c r="F718" s="359" t="s">
        <v>1317</v>
      </c>
      <c r="G718" s="353" t="s">
        <v>941</v>
      </c>
      <c r="H718" s="17" t="s">
        <v>3213</v>
      </c>
      <c r="I718" s="371">
        <v>1</v>
      </c>
      <c r="J718" s="360">
        <v>0.19</v>
      </c>
      <c r="K718" s="361" t="s">
        <v>3806</v>
      </c>
      <c r="L718" s="368" t="s">
        <v>2696</v>
      </c>
    </row>
    <row r="719" spans="1:12" ht="15">
      <c r="A719" s="102"/>
      <c r="B719" s="354"/>
      <c r="C719" s="17"/>
      <c r="D719" s="364" t="s">
        <v>2735</v>
      </c>
      <c r="E719" s="370" t="s">
        <v>1302</v>
      </c>
      <c r="F719" s="359"/>
      <c r="G719" s="353"/>
      <c r="H719" s="17"/>
      <c r="I719" s="371">
        <v>2</v>
      </c>
      <c r="J719" s="360">
        <v>0.3</v>
      </c>
      <c r="K719" s="361"/>
      <c r="L719" s="368" t="s">
        <v>2736</v>
      </c>
    </row>
    <row r="720" spans="1:12" ht="15">
      <c r="A720" s="102"/>
      <c r="B720" s="354"/>
      <c r="C720" s="17"/>
      <c r="D720" s="364"/>
      <c r="E720" s="370"/>
      <c r="F720" s="359" t="s">
        <v>1305</v>
      </c>
      <c r="G720" s="353" t="s">
        <v>1009</v>
      </c>
      <c r="H720" s="17" t="s">
        <v>3079</v>
      </c>
      <c r="I720" s="371">
        <v>1</v>
      </c>
      <c r="J720" s="360">
        <v>0.01</v>
      </c>
      <c r="K720" s="361" t="s">
        <v>3808</v>
      </c>
      <c r="L720" s="368" t="s">
        <v>2737</v>
      </c>
    </row>
    <row r="721" spans="1:12" ht="15">
      <c r="A721" s="102"/>
      <c r="B721" s="354"/>
      <c r="C721" s="17"/>
      <c r="D721" s="364"/>
      <c r="E721" s="370"/>
      <c r="F721" s="359" t="s">
        <v>1317</v>
      </c>
      <c r="G721" s="353" t="s">
        <v>1156</v>
      </c>
      <c r="H721" s="17"/>
      <c r="I721" s="371">
        <v>1</v>
      </c>
      <c r="J721" s="360">
        <v>0.23</v>
      </c>
      <c r="K721" s="361" t="s">
        <v>3809</v>
      </c>
      <c r="L721" s="368" t="s">
        <v>2738</v>
      </c>
    </row>
    <row r="722" spans="1:12" ht="29.25">
      <c r="A722" s="102"/>
      <c r="B722" s="354"/>
      <c r="C722" s="17"/>
      <c r="D722" s="364"/>
      <c r="E722" s="370"/>
      <c r="F722" s="370" t="s">
        <v>1317</v>
      </c>
      <c r="G722" s="365" t="s">
        <v>941</v>
      </c>
      <c r="H722" s="364" t="s">
        <v>3214</v>
      </c>
      <c r="I722" s="371">
        <v>1</v>
      </c>
      <c r="J722" s="360">
        <v>2.2599999999999998</v>
      </c>
      <c r="K722" s="361" t="s">
        <v>3810</v>
      </c>
      <c r="L722" s="368" t="s">
        <v>2739</v>
      </c>
    </row>
    <row r="723" spans="1:12" ht="15">
      <c r="A723" s="102"/>
      <c r="B723" s="354"/>
      <c r="C723" s="17"/>
      <c r="D723" s="364" t="s">
        <v>2944</v>
      </c>
      <c r="E723" s="370" t="s">
        <v>1302</v>
      </c>
      <c r="F723" s="370"/>
      <c r="G723" s="365"/>
      <c r="H723" s="364"/>
      <c r="I723" s="371">
        <v>1</v>
      </c>
      <c r="J723" s="360">
        <v>10.02</v>
      </c>
      <c r="K723" s="361"/>
      <c r="L723" s="368" t="s">
        <v>2928</v>
      </c>
    </row>
    <row r="724" spans="1:12" ht="15">
      <c r="A724" s="102"/>
      <c r="B724" s="354"/>
      <c r="C724" s="17"/>
      <c r="D724" s="364"/>
      <c r="E724" s="370"/>
      <c r="F724" s="370" t="s">
        <v>1305</v>
      </c>
      <c r="G724" s="365" t="s">
        <v>1007</v>
      </c>
      <c r="H724" s="364" t="s">
        <v>3080</v>
      </c>
      <c r="I724" s="371">
        <v>1</v>
      </c>
      <c r="J724" s="360">
        <v>0.79</v>
      </c>
      <c r="K724" s="361" t="s">
        <v>3812</v>
      </c>
      <c r="L724" s="368" t="s">
        <v>2929</v>
      </c>
    </row>
    <row r="725" spans="1:12" ht="15">
      <c r="A725" s="102"/>
      <c r="B725" s="354"/>
      <c r="C725" s="17"/>
      <c r="D725" s="364"/>
      <c r="E725" s="370"/>
      <c r="F725" s="370" t="s">
        <v>1317</v>
      </c>
      <c r="G725" s="365" t="s">
        <v>3811</v>
      </c>
      <c r="H725" s="364"/>
      <c r="I725" s="371">
        <v>14</v>
      </c>
      <c r="J725" s="360">
        <v>0.19</v>
      </c>
      <c r="K725" s="361"/>
      <c r="L725" s="368" t="s">
        <v>2930</v>
      </c>
    </row>
    <row r="726" spans="1:12" ht="15">
      <c r="A726" s="102"/>
      <c r="B726" s="354"/>
      <c r="C726" s="17"/>
      <c r="D726" s="364"/>
      <c r="E726" s="370"/>
      <c r="F726" s="370" t="s">
        <v>1317</v>
      </c>
      <c r="G726" s="365" t="s">
        <v>1711</v>
      </c>
      <c r="H726" s="364">
        <v>4</v>
      </c>
      <c r="I726" s="371">
        <v>9</v>
      </c>
      <c r="J726" s="360">
        <v>0.56000000000000005</v>
      </c>
      <c r="K726" s="361"/>
      <c r="L726" s="368" t="s">
        <v>2931</v>
      </c>
    </row>
    <row r="727" spans="1:12" ht="15">
      <c r="A727" s="102"/>
      <c r="B727" s="354"/>
      <c r="C727" s="17"/>
      <c r="D727" s="364"/>
      <c r="E727" s="370"/>
      <c r="F727" s="370" t="s">
        <v>1317</v>
      </c>
      <c r="G727" s="365" t="s">
        <v>941</v>
      </c>
      <c r="H727" s="364" t="s">
        <v>3215</v>
      </c>
      <c r="I727" s="371">
        <v>1</v>
      </c>
      <c r="J727" s="360">
        <v>0.08</v>
      </c>
      <c r="K727" s="361" t="s">
        <v>3813</v>
      </c>
      <c r="L727" s="368" t="s">
        <v>2932</v>
      </c>
    </row>
    <row r="728" spans="1:12" ht="15">
      <c r="A728" s="102"/>
      <c r="B728" s="354"/>
      <c r="C728" s="17"/>
      <c r="D728" s="364"/>
      <c r="E728" s="370"/>
      <c r="F728" s="370" t="s">
        <v>1317</v>
      </c>
      <c r="G728" s="365" t="s">
        <v>1208</v>
      </c>
      <c r="H728" s="364" t="s">
        <v>2933</v>
      </c>
      <c r="I728" s="371">
        <v>2</v>
      </c>
      <c r="J728" s="360">
        <v>0.56000000000000005</v>
      </c>
      <c r="K728" s="361"/>
      <c r="L728" s="368" t="s">
        <v>2934</v>
      </c>
    </row>
    <row r="729" spans="1:12" ht="15">
      <c r="A729" s="102"/>
      <c r="B729" s="354" t="s">
        <v>2946</v>
      </c>
      <c r="C729" s="17"/>
      <c r="D729" s="364"/>
      <c r="E729" s="370"/>
      <c r="F729" s="370" t="s">
        <v>1317</v>
      </c>
      <c r="G729" s="365" t="s">
        <v>1199</v>
      </c>
      <c r="H729" s="364" t="s">
        <v>3216</v>
      </c>
      <c r="I729" s="371">
        <v>1</v>
      </c>
      <c r="J729" s="360">
        <v>0.37</v>
      </c>
      <c r="K729" s="361"/>
      <c r="L729" s="368" t="s">
        <v>2945</v>
      </c>
    </row>
    <row r="730" spans="1:12" ht="15">
      <c r="A730" s="102"/>
      <c r="B730" s="354"/>
      <c r="C730" s="17"/>
      <c r="D730" s="364"/>
      <c r="E730" s="370"/>
      <c r="F730" s="370" t="s">
        <v>1317</v>
      </c>
      <c r="G730" s="365" t="s">
        <v>2983</v>
      </c>
      <c r="H730" s="364"/>
      <c r="I730" s="371">
        <v>1</v>
      </c>
      <c r="J730" s="360">
        <v>0.03</v>
      </c>
      <c r="K730" s="361"/>
      <c r="L730" s="368" t="s">
        <v>2984</v>
      </c>
    </row>
    <row r="731" spans="1:12" ht="15">
      <c r="A731" s="102"/>
      <c r="B731" s="354"/>
      <c r="C731" s="17"/>
      <c r="D731" s="364"/>
      <c r="E731" s="370"/>
      <c r="F731" s="370" t="s">
        <v>1309</v>
      </c>
      <c r="G731" s="365" t="s">
        <v>1228</v>
      </c>
      <c r="H731" s="364" t="s">
        <v>3815</v>
      </c>
      <c r="I731" s="371">
        <v>2</v>
      </c>
      <c r="J731" s="360">
        <v>0.03</v>
      </c>
      <c r="K731" s="361" t="s">
        <v>3814</v>
      </c>
      <c r="L731" s="368"/>
    </row>
    <row r="732" spans="1:12" ht="15">
      <c r="A732" s="102"/>
      <c r="B732" s="354"/>
      <c r="C732" s="17"/>
      <c r="D732" s="364"/>
      <c r="E732" s="370"/>
      <c r="F732" s="370" t="s">
        <v>1309</v>
      </c>
      <c r="G732" s="365" t="s">
        <v>1230</v>
      </c>
      <c r="H732" s="364" t="s">
        <v>3751</v>
      </c>
      <c r="I732" s="371">
        <v>2</v>
      </c>
      <c r="J732" s="360">
        <v>0.02</v>
      </c>
      <c r="K732" s="361"/>
      <c r="L732" s="368"/>
    </row>
    <row r="733" spans="1:12" ht="15">
      <c r="A733" s="102"/>
      <c r="B733" s="354"/>
      <c r="C733" s="17"/>
      <c r="D733" s="364"/>
      <c r="E733" s="370"/>
      <c r="F733" s="370"/>
      <c r="G733" s="365"/>
      <c r="H733" s="364"/>
      <c r="I733" s="371"/>
      <c r="J733" s="360"/>
      <c r="K733" s="361"/>
      <c r="L733" s="368"/>
    </row>
    <row r="734" spans="1:12" ht="15.75">
      <c r="A734" s="102"/>
      <c r="B734" s="105"/>
      <c r="C734" s="105"/>
      <c r="D734" s="321"/>
      <c r="E734" s="396"/>
      <c r="F734" s="105"/>
      <c r="G734" s="321"/>
      <c r="H734" s="104"/>
      <c r="I734" s="417"/>
      <c r="J734" s="108"/>
      <c r="K734" s="133"/>
      <c r="L734" s="321"/>
    </row>
    <row r="735" spans="1:12">
      <c r="A735" s="353"/>
      <c r="B735" s="354" t="s">
        <v>13</v>
      </c>
      <c r="C735" s="355" t="s">
        <v>84</v>
      </c>
      <c r="D735" s="355"/>
      <c r="E735" s="402"/>
      <c r="F735" s="356"/>
      <c r="G735" s="354"/>
      <c r="H735" s="355"/>
      <c r="I735" s="421">
        <v>1</v>
      </c>
      <c r="J735" s="357">
        <v>750.72</v>
      </c>
      <c r="K735" s="358"/>
      <c r="L735" s="363" t="s">
        <v>1764</v>
      </c>
    </row>
    <row r="736" spans="1:12">
      <c r="A736" s="353"/>
      <c r="B736" s="354"/>
      <c r="C736" s="17"/>
      <c r="D736" s="17" t="s">
        <v>1763</v>
      </c>
      <c r="E736" s="370" t="s">
        <v>1302</v>
      </c>
      <c r="F736" s="359"/>
      <c r="G736" s="353"/>
      <c r="H736" s="17"/>
      <c r="I736" s="371">
        <v>91</v>
      </c>
      <c r="J736" s="360">
        <v>8.16</v>
      </c>
      <c r="K736" s="361"/>
      <c r="L736" s="368" t="s">
        <v>1765</v>
      </c>
    </row>
    <row r="737" spans="1:12">
      <c r="A737" s="353"/>
      <c r="B737" s="354"/>
      <c r="C737" s="17"/>
      <c r="D737" s="17"/>
      <c r="E737" s="370"/>
      <c r="F737" s="359" t="s">
        <v>1317</v>
      </c>
      <c r="G737" s="353" t="s">
        <v>1211</v>
      </c>
      <c r="H737" s="17" t="s">
        <v>3816</v>
      </c>
      <c r="I737" s="371">
        <v>1</v>
      </c>
      <c r="J737" s="360">
        <v>8.16</v>
      </c>
      <c r="K737" s="361" t="s">
        <v>3817</v>
      </c>
      <c r="L737" s="368" t="s">
        <v>1923</v>
      </c>
    </row>
    <row r="738" spans="1:12" ht="15.75">
      <c r="A738" s="102"/>
      <c r="B738" s="105"/>
      <c r="C738" s="105"/>
      <c r="D738" s="321"/>
      <c r="E738" s="396"/>
      <c r="F738" s="105"/>
      <c r="G738" s="321"/>
      <c r="H738" s="104"/>
      <c r="I738" s="417"/>
      <c r="J738" s="108"/>
      <c r="K738" s="133"/>
      <c r="L738" s="321"/>
    </row>
    <row r="739" spans="1:12">
      <c r="A739" s="353"/>
      <c r="B739" s="354" t="s">
        <v>13</v>
      </c>
      <c r="C739" s="355" t="s">
        <v>85</v>
      </c>
      <c r="D739" s="355"/>
      <c r="E739" s="402"/>
      <c r="F739" s="356"/>
      <c r="G739" s="354"/>
      <c r="H739" s="355"/>
      <c r="I739" s="421">
        <v>1</v>
      </c>
      <c r="J739" s="357">
        <v>676.26</v>
      </c>
      <c r="K739" s="358"/>
      <c r="L739" s="363" t="s">
        <v>2074</v>
      </c>
    </row>
    <row r="740" spans="1:12">
      <c r="A740" s="353"/>
      <c r="B740" s="354"/>
      <c r="C740" s="17"/>
      <c r="D740" s="17" t="s">
        <v>2077</v>
      </c>
      <c r="E740" s="370" t="s">
        <v>1302</v>
      </c>
      <c r="F740" s="359"/>
      <c r="G740" s="353"/>
      <c r="H740" s="17"/>
      <c r="I740" s="371">
        <v>91</v>
      </c>
      <c r="J740" s="360">
        <v>5.62</v>
      </c>
      <c r="K740" s="361"/>
      <c r="L740" s="368" t="s">
        <v>2075</v>
      </c>
    </row>
    <row r="741" spans="1:12">
      <c r="A741" s="353"/>
      <c r="B741" s="354"/>
      <c r="C741" s="17"/>
      <c r="D741" s="17"/>
      <c r="E741" s="370"/>
      <c r="F741" s="359" t="s">
        <v>1317</v>
      </c>
      <c r="G741" s="353" t="s">
        <v>1156</v>
      </c>
      <c r="H741" s="17" t="s">
        <v>3818</v>
      </c>
      <c r="I741" s="371">
        <v>2</v>
      </c>
      <c r="J741" s="360">
        <v>127.96</v>
      </c>
      <c r="K741" s="361" t="s">
        <v>3819</v>
      </c>
      <c r="L741" s="368" t="s">
        <v>2076</v>
      </c>
    </row>
    <row r="742" spans="1:12" ht="15">
      <c r="A742" s="102"/>
      <c r="B742" s="354"/>
      <c r="C742" s="17"/>
      <c r="D742" s="17" t="s">
        <v>2078</v>
      </c>
      <c r="E742" s="370" t="s">
        <v>1302</v>
      </c>
      <c r="F742" s="359"/>
      <c r="G742" s="353"/>
      <c r="H742" s="17"/>
      <c r="I742" s="371">
        <v>1</v>
      </c>
      <c r="J742" s="360">
        <v>29.84</v>
      </c>
      <c r="K742" s="361"/>
      <c r="L742" s="368" t="s">
        <v>2079</v>
      </c>
    </row>
    <row r="743" spans="1:12" ht="15">
      <c r="A743" s="102"/>
      <c r="B743" s="354"/>
      <c r="C743" s="17"/>
      <c r="D743" s="17"/>
      <c r="E743" s="370"/>
      <c r="F743" s="359" t="s">
        <v>1317</v>
      </c>
      <c r="G743" s="353" t="s">
        <v>1711</v>
      </c>
      <c r="H743" s="17" t="s">
        <v>2687</v>
      </c>
      <c r="I743" s="371">
        <v>1</v>
      </c>
      <c r="J743" s="360">
        <v>7.46</v>
      </c>
      <c r="K743" s="361"/>
      <c r="L743" s="368" t="s">
        <v>2080</v>
      </c>
    </row>
    <row r="744" spans="1:12" ht="15.75">
      <c r="A744" s="102"/>
      <c r="B744" s="105"/>
      <c r="C744" s="105"/>
      <c r="D744" s="321"/>
      <c r="E744" s="396"/>
      <c r="F744" s="105"/>
      <c r="G744" s="321"/>
      <c r="H744" s="104"/>
      <c r="I744" s="417"/>
      <c r="J744" s="108"/>
      <c r="K744" s="133"/>
      <c r="L744" s="321"/>
    </row>
    <row r="745" spans="1:12">
      <c r="A745" s="353"/>
      <c r="B745" s="354" t="s">
        <v>13</v>
      </c>
      <c r="C745" s="355" t="s">
        <v>76</v>
      </c>
      <c r="D745" s="355"/>
      <c r="E745" s="402"/>
      <c r="F745" s="356"/>
      <c r="G745" s="354"/>
      <c r="H745" s="355"/>
      <c r="I745" s="421">
        <v>1</v>
      </c>
      <c r="J745" s="357">
        <v>14.4</v>
      </c>
      <c r="K745" s="358"/>
      <c r="L745" s="363" t="s">
        <v>2089</v>
      </c>
    </row>
    <row r="746" spans="1:12">
      <c r="A746" s="353"/>
      <c r="B746" s="354"/>
      <c r="C746" s="17"/>
      <c r="D746" s="17" t="s">
        <v>2088</v>
      </c>
      <c r="E746" s="370" t="s">
        <v>1302</v>
      </c>
      <c r="F746" s="359"/>
      <c r="G746" s="353"/>
      <c r="H746" s="17"/>
      <c r="I746" s="371">
        <v>64</v>
      </c>
      <c r="J746" s="360">
        <v>0.14000000000000001</v>
      </c>
      <c r="K746" s="361"/>
      <c r="L746" s="368" t="s">
        <v>2090</v>
      </c>
    </row>
    <row r="747" spans="1:12">
      <c r="A747" s="353"/>
      <c r="B747" s="354"/>
      <c r="C747" s="17"/>
      <c r="D747" s="17"/>
      <c r="E747" s="370"/>
      <c r="F747" s="359" t="s">
        <v>1305</v>
      </c>
      <c r="G747" s="353" t="s">
        <v>1009</v>
      </c>
      <c r="H747" s="17" t="s">
        <v>2123</v>
      </c>
      <c r="I747" s="371">
        <v>1</v>
      </c>
      <c r="J747" s="360">
        <v>0.01</v>
      </c>
      <c r="K747" s="361" t="s">
        <v>3798</v>
      </c>
      <c r="L747" s="368" t="s">
        <v>2156</v>
      </c>
    </row>
    <row r="748" spans="1:12">
      <c r="A748" s="353"/>
      <c r="B748" s="354"/>
      <c r="C748" s="17"/>
      <c r="D748" s="17"/>
      <c r="E748" s="370"/>
      <c r="F748" s="359" t="s">
        <v>1317</v>
      </c>
      <c r="G748" s="353" t="s">
        <v>1156</v>
      </c>
      <c r="H748" s="17"/>
      <c r="I748" s="371">
        <v>1</v>
      </c>
      <c r="J748" s="360">
        <v>0.06</v>
      </c>
      <c r="K748" s="361" t="s">
        <v>3801</v>
      </c>
      <c r="L748" s="368" t="s">
        <v>2157</v>
      </c>
    </row>
    <row r="749" spans="1:12">
      <c r="A749" s="353"/>
      <c r="B749" s="354"/>
      <c r="C749" s="17"/>
      <c r="D749" s="17"/>
      <c r="E749" s="370"/>
      <c r="F749" s="359" t="s">
        <v>1317</v>
      </c>
      <c r="G749" s="353" t="s">
        <v>941</v>
      </c>
      <c r="H749" s="17" t="s">
        <v>3211</v>
      </c>
      <c r="I749" s="371">
        <v>1</v>
      </c>
      <c r="J749" s="360">
        <v>7.0000000000000007E-2</v>
      </c>
      <c r="K749" s="361" t="s">
        <v>3820</v>
      </c>
      <c r="L749" s="368" t="s">
        <v>2158</v>
      </c>
    </row>
    <row r="750" spans="1:12" ht="15">
      <c r="A750" s="102"/>
      <c r="B750" s="354"/>
      <c r="C750" s="17"/>
      <c r="D750" s="17" t="s">
        <v>2091</v>
      </c>
      <c r="E750" s="370" t="s">
        <v>1302</v>
      </c>
      <c r="F750" s="359"/>
      <c r="G750" s="353"/>
      <c r="H750" s="17"/>
      <c r="I750" s="371">
        <v>4</v>
      </c>
      <c r="J750" s="360">
        <v>0.14000000000000001</v>
      </c>
      <c r="K750" s="361"/>
      <c r="L750" s="368" t="s">
        <v>2092</v>
      </c>
    </row>
    <row r="751" spans="1:12" ht="15">
      <c r="A751" s="102"/>
      <c r="B751" s="354"/>
      <c r="C751" s="17"/>
      <c r="D751" s="17"/>
      <c r="E751" s="370"/>
      <c r="F751" s="359" t="s">
        <v>1305</v>
      </c>
      <c r="G751" s="353" t="s">
        <v>1009</v>
      </c>
      <c r="H751" s="17" t="s">
        <v>2123</v>
      </c>
      <c r="I751" s="371">
        <v>1</v>
      </c>
      <c r="J751" s="360">
        <v>0.01</v>
      </c>
      <c r="K751" s="361" t="s">
        <v>3798</v>
      </c>
      <c r="L751" s="368" t="s">
        <v>2165</v>
      </c>
    </row>
    <row r="752" spans="1:12" ht="15">
      <c r="A752" s="102"/>
      <c r="B752" s="354"/>
      <c r="C752" s="17"/>
      <c r="D752" s="17"/>
      <c r="E752" s="370"/>
      <c r="F752" s="359" t="s">
        <v>1317</v>
      </c>
      <c r="G752" s="353" t="s">
        <v>1156</v>
      </c>
      <c r="H752" s="17"/>
      <c r="I752" s="371">
        <v>1</v>
      </c>
      <c r="J752" s="360">
        <v>0.06</v>
      </c>
      <c r="K752" s="361" t="s">
        <v>3801</v>
      </c>
      <c r="L752" s="368" t="s">
        <v>2166</v>
      </c>
    </row>
    <row r="753" spans="1:12" ht="15">
      <c r="A753" s="102"/>
      <c r="B753" s="354"/>
      <c r="C753" s="17"/>
      <c r="D753" s="17"/>
      <c r="E753" s="370"/>
      <c r="F753" s="359" t="s">
        <v>1317</v>
      </c>
      <c r="G753" s="353" t="s">
        <v>941</v>
      </c>
      <c r="H753" s="17" t="s">
        <v>3211</v>
      </c>
      <c r="I753" s="371">
        <v>1</v>
      </c>
      <c r="J753" s="360">
        <v>7.0000000000000007E-2</v>
      </c>
      <c r="K753" s="361" t="s">
        <v>3820</v>
      </c>
      <c r="L753" s="368" t="s">
        <v>2167</v>
      </c>
    </row>
    <row r="754" spans="1:12" ht="29.25">
      <c r="A754" s="102"/>
      <c r="B754" s="354"/>
      <c r="C754" s="17"/>
      <c r="D754" s="364" t="s">
        <v>2924</v>
      </c>
      <c r="E754" s="370" t="s">
        <v>1302</v>
      </c>
      <c r="F754" s="359"/>
      <c r="G754" s="353"/>
      <c r="H754" s="17"/>
      <c r="I754" s="371">
        <v>12</v>
      </c>
      <c r="J754" s="360">
        <v>0.22</v>
      </c>
      <c r="K754" s="361"/>
      <c r="L754" s="368" t="s">
        <v>2106</v>
      </c>
    </row>
    <row r="755" spans="1:12" ht="15">
      <c r="A755" s="102"/>
      <c r="B755" s="354"/>
      <c r="C755" s="17"/>
      <c r="D755" s="17"/>
      <c r="E755" s="370"/>
      <c r="F755" s="359" t="s">
        <v>1305</v>
      </c>
      <c r="G755" s="353" t="s">
        <v>1009</v>
      </c>
      <c r="H755" s="17" t="s">
        <v>2147</v>
      </c>
      <c r="I755" s="371">
        <v>1</v>
      </c>
      <c r="J755" s="360">
        <v>0.02</v>
      </c>
      <c r="K755" s="361" t="s">
        <v>3821</v>
      </c>
      <c r="L755" s="368" t="s">
        <v>2159</v>
      </c>
    </row>
    <row r="756" spans="1:12" ht="15">
      <c r="A756" s="102"/>
      <c r="B756" s="354"/>
      <c r="C756" s="17"/>
      <c r="D756" s="17"/>
      <c r="E756" s="370"/>
      <c r="F756" s="359" t="s">
        <v>1317</v>
      </c>
      <c r="G756" s="353" t="s">
        <v>1156</v>
      </c>
      <c r="H756" s="17"/>
      <c r="I756" s="371">
        <v>1</v>
      </c>
      <c r="J756" s="360">
        <v>0.13</v>
      </c>
      <c r="K756" s="361" t="s">
        <v>3822</v>
      </c>
      <c r="L756" s="368" t="s">
        <v>2160</v>
      </c>
    </row>
    <row r="757" spans="1:12" ht="15">
      <c r="A757" s="102"/>
      <c r="B757" s="354"/>
      <c r="C757" s="17"/>
      <c r="D757" s="17"/>
      <c r="E757" s="370"/>
      <c r="F757" s="359" t="s">
        <v>1317</v>
      </c>
      <c r="G757" s="353" t="s">
        <v>941</v>
      </c>
      <c r="H757" s="17" t="s">
        <v>3211</v>
      </c>
      <c r="I757" s="371">
        <v>1</v>
      </c>
      <c r="J757" s="360">
        <v>7.0000000000000007E-2</v>
      </c>
      <c r="K757" s="361" t="s">
        <v>3823</v>
      </c>
      <c r="L757" s="368" t="s">
        <v>2161</v>
      </c>
    </row>
    <row r="758" spans="1:12" ht="15">
      <c r="A758" s="102"/>
      <c r="B758" s="354"/>
      <c r="C758" s="17"/>
      <c r="D758" s="17" t="s">
        <v>2107</v>
      </c>
      <c r="E758" s="370" t="s">
        <v>1302</v>
      </c>
      <c r="F758" s="359"/>
      <c r="G758" s="353"/>
      <c r="H758" s="17"/>
      <c r="I758" s="371">
        <v>6</v>
      </c>
      <c r="J758" s="360">
        <v>0.28999999999999998</v>
      </c>
      <c r="K758" s="361"/>
      <c r="L758" s="368" t="s">
        <v>2108</v>
      </c>
    </row>
    <row r="759" spans="1:12" ht="15">
      <c r="A759" s="102"/>
      <c r="B759" s="354"/>
      <c r="C759" s="17"/>
      <c r="D759" s="17"/>
      <c r="E759" s="370"/>
      <c r="F759" s="359" t="s">
        <v>1305</v>
      </c>
      <c r="G759" s="353" t="s">
        <v>1009</v>
      </c>
      <c r="H759" s="17" t="s">
        <v>2147</v>
      </c>
      <c r="I759" s="371">
        <v>1</v>
      </c>
      <c r="J759" s="360">
        <v>0.03</v>
      </c>
      <c r="K759" s="361" t="s">
        <v>3824</v>
      </c>
      <c r="L759" s="368" t="s">
        <v>2162</v>
      </c>
    </row>
    <row r="760" spans="1:12" ht="15">
      <c r="A760" s="102"/>
      <c r="B760" s="354"/>
      <c r="C760" s="17"/>
      <c r="D760" s="17"/>
      <c r="E760" s="370"/>
      <c r="F760" s="359" t="s">
        <v>1317</v>
      </c>
      <c r="G760" s="353" t="s">
        <v>1156</v>
      </c>
      <c r="H760" s="17"/>
      <c r="I760" s="371">
        <v>1</v>
      </c>
      <c r="J760" s="360">
        <v>0.16</v>
      </c>
      <c r="K760" s="361" t="s">
        <v>3825</v>
      </c>
      <c r="L760" s="368" t="s">
        <v>2163</v>
      </c>
    </row>
    <row r="761" spans="1:12" ht="15">
      <c r="A761" s="102"/>
      <c r="B761" s="354"/>
      <c r="C761" s="17"/>
      <c r="D761" s="17"/>
      <c r="E761" s="370"/>
      <c r="F761" s="359" t="s">
        <v>1317</v>
      </c>
      <c r="G761" s="353" t="s">
        <v>941</v>
      </c>
      <c r="H761" s="17" t="s">
        <v>3211</v>
      </c>
      <c r="I761" s="371">
        <v>1</v>
      </c>
      <c r="J761" s="360">
        <v>0.1</v>
      </c>
      <c r="K761" s="361" t="s">
        <v>3826</v>
      </c>
      <c r="L761" s="368" t="s">
        <v>2164</v>
      </c>
    </row>
    <row r="762" spans="1:12" ht="15.75">
      <c r="A762" s="102"/>
      <c r="B762" s="105"/>
      <c r="C762" s="105"/>
      <c r="D762" s="321"/>
      <c r="E762" s="396"/>
      <c r="F762" s="105"/>
      <c r="G762" s="321"/>
      <c r="H762" s="104"/>
      <c r="I762" s="417"/>
      <c r="J762" s="108"/>
      <c r="K762" s="133"/>
      <c r="L762" s="321"/>
    </row>
    <row r="763" spans="1:12">
      <c r="A763" s="353"/>
      <c r="B763" s="354" t="s">
        <v>13</v>
      </c>
      <c r="C763" s="355" t="s">
        <v>82</v>
      </c>
      <c r="D763" s="355"/>
      <c r="E763" s="402"/>
      <c r="F763" s="356"/>
      <c r="G763" s="354"/>
      <c r="H763" s="355"/>
      <c r="I763" s="421">
        <v>1</v>
      </c>
      <c r="J763" s="357">
        <v>6.64</v>
      </c>
      <c r="K763" s="358"/>
      <c r="L763" s="363" t="s">
        <v>2094</v>
      </c>
    </row>
    <row r="764" spans="1:12">
      <c r="A764" s="353"/>
      <c r="B764" s="354"/>
      <c r="C764" s="17"/>
      <c r="D764" s="17" t="s">
        <v>3061</v>
      </c>
      <c r="E764" s="370" t="s">
        <v>1302</v>
      </c>
      <c r="F764" s="359"/>
      <c r="G764" s="353"/>
      <c r="H764" s="17"/>
      <c r="I764" s="371">
        <v>1</v>
      </c>
      <c r="J764" s="360">
        <v>0.74</v>
      </c>
      <c r="K764" s="361"/>
      <c r="L764" s="368" t="s">
        <v>2095</v>
      </c>
    </row>
    <row r="765" spans="1:12">
      <c r="A765" s="353"/>
      <c r="B765" s="354"/>
      <c r="C765" s="17"/>
      <c r="D765" s="17"/>
      <c r="E765" s="370"/>
      <c r="F765" s="359" t="s">
        <v>1305</v>
      </c>
      <c r="G765" s="353" t="s">
        <v>1007</v>
      </c>
      <c r="H765" s="17"/>
      <c r="I765" s="371">
        <v>1</v>
      </c>
      <c r="J765" s="360">
        <v>0.04</v>
      </c>
      <c r="K765" s="361" t="s">
        <v>3827</v>
      </c>
      <c r="L765" s="368" t="s">
        <v>2096</v>
      </c>
    </row>
    <row r="766" spans="1:12">
      <c r="A766" s="353"/>
      <c r="B766" s="354"/>
      <c r="C766" s="17"/>
      <c r="D766" s="17"/>
      <c r="E766" s="370"/>
      <c r="F766" s="359" t="s">
        <v>1317</v>
      </c>
      <c r="G766" s="353" t="s">
        <v>1156</v>
      </c>
      <c r="H766" s="17"/>
      <c r="I766" s="371">
        <v>1</v>
      </c>
      <c r="J766" s="360">
        <v>0.33</v>
      </c>
      <c r="K766" s="361" t="s">
        <v>3828</v>
      </c>
      <c r="L766" s="368" t="s">
        <v>2097</v>
      </c>
    </row>
    <row r="767" spans="1:12">
      <c r="A767" s="353"/>
      <c r="B767" s="354"/>
      <c r="C767" s="17"/>
      <c r="D767" s="17"/>
      <c r="E767" s="370"/>
      <c r="F767" s="359" t="s">
        <v>1317</v>
      </c>
      <c r="G767" s="353" t="s">
        <v>1199</v>
      </c>
      <c r="H767" s="17" t="s">
        <v>3217</v>
      </c>
      <c r="I767" s="371">
        <v>1</v>
      </c>
      <c r="J767" s="360">
        <v>0.37</v>
      </c>
      <c r="K767" s="361"/>
      <c r="L767" s="368" t="s">
        <v>3048</v>
      </c>
    </row>
    <row r="768" spans="1:12" ht="15">
      <c r="A768" s="102"/>
      <c r="B768" s="354"/>
      <c r="C768" s="17"/>
      <c r="D768" s="17" t="s">
        <v>3062</v>
      </c>
      <c r="E768" s="370" t="s">
        <v>1302</v>
      </c>
      <c r="F768" s="359"/>
      <c r="G768" s="353" t="s">
        <v>1199</v>
      </c>
      <c r="H768" s="17"/>
      <c r="I768" s="371">
        <v>1</v>
      </c>
      <c r="J768" s="360">
        <v>0.79</v>
      </c>
      <c r="K768" s="361"/>
      <c r="L768" s="368" t="s">
        <v>2098</v>
      </c>
    </row>
    <row r="769" spans="1:12" ht="15">
      <c r="A769" s="102"/>
      <c r="B769" s="354"/>
      <c r="C769" s="17"/>
      <c r="D769" s="17"/>
      <c r="E769" s="370"/>
      <c r="F769" s="359" t="s">
        <v>1305</v>
      </c>
      <c r="G769" s="353" t="s">
        <v>1007</v>
      </c>
      <c r="H769" s="17"/>
      <c r="I769" s="371">
        <v>1</v>
      </c>
      <c r="J769" s="360">
        <v>0.05</v>
      </c>
      <c r="K769" s="361" t="s">
        <v>3829</v>
      </c>
      <c r="L769" s="368" t="s">
        <v>2104</v>
      </c>
    </row>
    <row r="770" spans="1:12" ht="15">
      <c r="A770" s="102"/>
      <c r="B770" s="354"/>
      <c r="C770" s="17"/>
      <c r="D770" s="17"/>
      <c r="E770" s="370"/>
      <c r="F770" s="359" t="s">
        <v>1317</v>
      </c>
      <c r="G770" s="353" t="s">
        <v>1156</v>
      </c>
      <c r="H770" s="17"/>
      <c r="I770" s="371">
        <v>1</v>
      </c>
      <c r="J770" s="360">
        <v>0.37</v>
      </c>
      <c r="K770" s="361" t="s">
        <v>3830</v>
      </c>
      <c r="L770" s="368" t="s">
        <v>2105</v>
      </c>
    </row>
    <row r="771" spans="1:12" ht="15">
      <c r="A771" s="102"/>
      <c r="B771" s="354"/>
      <c r="C771" s="17"/>
      <c r="D771" s="17"/>
      <c r="E771" s="370"/>
      <c r="F771" s="359" t="s">
        <v>1317</v>
      </c>
      <c r="G771" s="353" t="s">
        <v>1199</v>
      </c>
      <c r="H771" s="17" t="s">
        <v>3218</v>
      </c>
      <c r="I771" s="371">
        <v>1</v>
      </c>
      <c r="J771" s="360">
        <v>0.37</v>
      </c>
      <c r="K771" s="361"/>
      <c r="L771" s="368" t="s">
        <v>3050</v>
      </c>
    </row>
    <row r="772" spans="1:12" ht="15">
      <c r="A772" s="102"/>
      <c r="B772" s="354"/>
      <c r="C772" s="17"/>
      <c r="D772" s="17" t="s">
        <v>2099</v>
      </c>
      <c r="E772" s="370" t="s">
        <v>1311</v>
      </c>
      <c r="F772" s="359"/>
      <c r="G772" s="353"/>
      <c r="H772" s="17" t="s">
        <v>2100</v>
      </c>
      <c r="I772" s="371">
        <v>1</v>
      </c>
      <c r="J772" s="360">
        <v>2.4300000000000002</v>
      </c>
      <c r="K772" s="361"/>
      <c r="L772" s="368" t="s">
        <v>2101</v>
      </c>
    </row>
    <row r="773" spans="1:12" ht="15">
      <c r="A773" s="102"/>
      <c r="B773" s="354"/>
      <c r="C773" s="17"/>
      <c r="D773" s="17" t="s">
        <v>1512</v>
      </c>
      <c r="E773" s="370" t="s">
        <v>1311</v>
      </c>
      <c r="F773" s="359"/>
      <c r="G773" s="353"/>
      <c r="H773" s="17" t="s">
        <v>2102</v>
      </c>
      <c r="I773" s="371">
        <v>2</v>
      </c>
      <c r="J773" s="360">
        <v>1.34</v>
      </c>
      <c r="K773" s="361"/>
      <c r="L773" s="368" t="s">
        <v>2103</v>
      </c>
    </row>
    <row r="774" spans="1:12" ht="15">
      <c r="A774" s="102"/>
      <c r="B774" s="354"/>
      <c r="C774" s="17"/>
      <c r="D774" s="17" t="s">
        <v>3049</v>
      </c>
      <c r="E774" s="370" t="s">
        <v>1302</v>
      </c>
      <c r="F774" s="359"/>
      <c r="G774" s="353"/>
      <c r="H774" s="17"/>
      <c r="I774" s="371">
        <v>1</v>
      </c>
      <c r="J774" s="360">
        <v>0</v>
      </c>
      <c r="K774" s="361"/>
      <c r="L774" s="368" t="s">
        <v>3051</v>
      </c>
    </row>
    <row r="775" spans="1:12" ht="15">
      <c r="A775" s="102"/>
      <c r="B775" s="354"/>
      <c r="C775" s="17"/>
      <c r="D775" s="17"/>
      <c r="E775" s="370"/>
      <c r="F775" s="359" t="s">
        <v>1305</v>
      </c>
      <c r="G775" s="353" t="s">
        <v>1007</v>
      </c>
      <c r="H775" s="17"/>
      <c r="I775" s="371">
        <v>1</v>
      </c>
      <c r="J775" s="360"/>
      <c r="K775" s="361"/>
      <c r="L775" s="368" t="s">
        <v>3052</v>
      </c>
    </row>
    <row r="776" spans="1:12" ht="15">
      <c r="A776" s="102"/>
      <c r="B776" s="354"/>
      <c r="C776" s="17"/>
      <c r="D776" s="17"/>
      <c r="E776" s="370"/>
      <c r="F776" s="359" t="s">
        <v>1317</v>
      </c>
      <c r="G776" s="353" t="s">
        <v>1208</v>
      </c>
      <c r="H776" s="17"/>
      <c r="I776" s="371">
        <v>1</v>
      </c>
      <c r="J776" s="360"/>
      <c r="K776" s="361"/>
      <c r="L776" s="368" t="s">
        <v>3053</v>
      </c>
    </row>
    <row r="777" spans="1:12" ht="15">
      <c r="A777" s="102"/>
      <c r="B777" s="354"/>
      <c r="C777" s="17"/>
      <c r="D777" s="17"/>
      <c r="E777" s="370"/>
      <c r="F777" s="359" t="s">
        <v>1317</v>
      </c>
      <c r="G777" s="353" t="s">
        <v>1157</v>
      </c>
      <c r="H777" s="17" t="s">
        <v>1339</v>
      </c>
      <c r="I777" s="371">
        <v>1</v>
      </c>
      <c r="J777" s="360"/>
      <c r="K777" s="361"/>
      <c r="L777" s="368" t="s">
        <v>3054</v>
      </c>
    </row>
    <row r="778" spans="1:12" ht="15">
      <c r="A778" s="102"/>
      <c r="B778" s="354"/>
      <c r="C778" s="17"/>
      <c r="D778" s="17"/>
      <c r="E778" s="370"/>
      <c r="F778" s="359" t="s">
        <v>1317</v>
      </c>
      <c r="G778" s="353" t="s">
        <v>1199</v>
      </c>
      <c r="H778" s="17" t="s">
        <v>3219</v>
      </c>
      <c r="I778" s="371">
        <v>1</v>
      </c>
      <c r="J778" s="360"/>
      <c r="K778" s="361"/>
      <c r="L778" s="368" t="s">
        <v>3220</v>
      </c>
    </row>
    <row r="779" spans="1:12" ht="15.75">
      <c r="A779" s="102"/>
      <c r="B779" s="105"/>
      <c r="C779" s="105"/>
      <c r="D779" s="321"/>
      <c r="E779" s="396"/>
      <c r="F779" s="105"/>
      <c r="G779" s="321"/>
      <c r="H779" s="104"/>
      <c r="I779" s="417"/>
      <c r="J779" s="108"/>
      <c r="K779" s="133"/>
      <c r="L779" s="321"/>
    </row>
    <row r="780" spans="1:12">
      <c r="A780" s="353"/>
      <c r="B780" s="354" t="s">
        <v>13</v>
      </c>
      <c r="C780" s="355" t="s">
        <v>83</v>
      </c>
      <c r="D780" s="355"/>
      <c r="E780" s="402"/>
      <c r="F780" s="356"/>
      <c r="G780" s="354"/>
      <c r="H780" s="355"/>
      <c r="I780" s="421">
        <v>1</v>
      </c>
      <c r="J780" s="357">
        <v>19.059999999999999</v>
      </c>
      <c r="K780" s="358"/>
      <c r="L780" s="363" t="s">
        <v>2269</v>
      </c>
    </row>
    <row r="781" spans="1:12" ht="29.25">
      <c r="A781" s="102"/>
      <c r="B781" s="354"/>
      <c r="C781" s="17"/>
      <c r="D781" s="364" t="s">
        <v>2229</v>
      </c>
      <c r="E781" s="370" t="s">
        <v>1302</v>
      </c>
      <c r="F781" s="359"/>
      <c r="G781" s="353"/>
      <c r="H781" s="17"/>
      <c r="I781" s="371">
        <v>2</v>
      </c>
      <c r="J781" s="360">
        <v>2.46</v>
      </c>
      <c r="K781" s="361"/>
      <c r="L781" s="368" t="s">
        <v>2484</v>
      </c>
    </row>
    <row r="782" spans="1:12" ht="15">
      <c r="A782" s="102"/>
      <c r="B782" s="354"/>
      <c r="C782" s="17"/>
      <c r="D782" s="364"/>
      <c r="E782" s="370"/>
      <c r="F782" s="359" t="s">
        <v>1305</v>
      </c>
      <c r="G782" s="353" t="s">
        <v>1007</v>
      </c>
      <c r="H782" s="17" t="s">
        <v>2486</v>
      </c>
      <c r="I782" s="371">
        <v>1</v>
      </c>
      <c r="J782" s="360">
        <v>0.17</v>
      </c>
      <c r="K782" s="361" t="s">
        <v>3831</v>
      </c>
      <c r="L782" s="368" t="s">
        <v>2485</v>
      </c>
    </row>
    <row r="783" spans="1:12" ht="15">
      <c r="A783" s="102"/>
      <c r="B783" s="354"/>
      <c r="C783" s="17"/>
      <c r="D783" s="364"/>
      <c r="E783" s="370"/>
      <c r="F783" s="359" t="s">
        <v>1317</v>
      </c>
      <c r="G783" s="353" t="s">
        <v>1156</v>
      </c>
      <c r="H783" s="17"/>
      <c r="I783" s="371">
        <v>1</v>
      </c>
      <c r="J783" s="360">
        <v>0.34</v>
      </c>
      <c r="K783" s="361" t="s">
        <v>3446</v>
      </c>
      <c r="L783" s="368" t="s">
        <v>2487</v>
      </c>
    </row>
    <row r="784" spans="1:12" ht="15">
      <c r="A784" s="102"/>
      <c r="B784" s="354"/>
      <c r="C784" s="17"/>
      <c r="D784" s="364"/>
      <c r="E784" s="370"/>
      <c r="F784" s="359" t="s">
        <v>1317</v>
      </c>
      <c r="G784" s="353" t="s">
        <v>1199</v>
      </c>
      <c r="H784" s="17" t="s">
        <v>3200</v>
      </c>
      <c r="I784" s="371">
        <v>1</v>
      </c>
      <c r="J784" s="360">
        <v>0.65</v>
      </c>
      <c r="K784" s="361"/>
      <c r="L784" s="368" t="s">
        <v>2488</v>
      </c>
    </row>
    <row r="785" spans="1:12" ht="15">
      <c r="A785" s="102"/>
      <c r="B785" s="354"/>
      <c r="C785" s="17"/>
      <c r="D785" s="364"/>
      <c r="E785" s="370"/>
      <c r="F785" s="359" t="s">
        <v>1317</v>
      </c>
      <c r="G785" s="353" t="s">
        <v>1199</v>
      </c>
      <c r="H785" s="17" t="s">
        <v>3221</v>
      </c>
      <c r="I785" s="371">
        <v>2</v>
      </c>
      <c r="J785" s="360">
        <v>0.65</v>
      </c>
      <c r="K785" s="361"/>
      <c r="L785" s="368" t="s">
        <v>2490</v>
      </c>
    </row>
    <row r="786" spans="1:12" ht="15">
      <c r="A786" s="102"/>
      <c r="B786" s="354"/>
      <c r="C786" s="17"/>
      <c r="D786" s="364" t="s">
        <v>2489</v>
      </c>
      <c r="E786" s="370" t="s">
        <v>1302</v>
      </c>
      <c r="F786" s="359"/>
      <c r="G786" s="353"/>
      <c r="H786" s="17"/>
      <c r="I786" s="371">
        <v>1</v>
      </c>
      <c r="J786" s="360">
        <v>3.52</v>
      </c>
      <c r="K786" s="361"/>
      <c r="L786" s="368" t="s">
        <v>2491</v>
      </c>
    </row>
    <row r="787" spans="1:12" ht="15">
      <c r="A787" s="102"/>
      <c r="B787" s="354"/>
      <c r="C787" s="17"/>
      <c r="D787" s="364"/>
      <c r="E787" s="370"/>
      <c r="F787" s="359" t="s">
        <v>1305</v>
      </c>
      <c r="G787" s="353" t="s">
        <v>1007</v>
      </c>
      <c r="H787" s="17" t="s">
        <v>2492</v>
      </c>
      <c r="I787" s="371">
        <v>1</v>
      </c>
      <c r="J787" s="360">
        <v>0.05</v>
      </c>
      <c r="K787" s="361"/>
      <c r="L787" s="368" t="s">
        <v>2493</v>
      </c>
    </row>
    <row r="788" spans="1:12" ht="15">
      <c r="A788" s="102"/>
      <c r="B788" s="354"/>
      <c r="C788" s="17"/>
      <c r="D788" s="364"/>
      <c r="E788" s="370"/>
      <c r="F788" s="359" t="s">
        <v>1317</v>
      </c>
      <c r="G788" s="353" t="s">
        <v>2459</v>
      </c>
      <c r="H788" s="17" t="s">
        <v>2460</v>
      </c>
      <c r="I788" s="371">
        <v>1</v>
      </c>
      <c r="J788" s="360">
        <v>2.8</v>
      </c>
      <c r="K788" s="361"/>
      <c r="L788" s="368" t="s">
        <v>2494</v>
      </c>
    </row>
    <row r="789" spans="1:12" ht="29.25">
      <c r="A789" s="102"/>
      <c r="B789" s="354"/>
      <c r="C789" s="17"/>
      <c r="D789" s="364"/>
      <c r="E789" s="370"/>
      <c r="F789" s="359" t="s">
        <v>1317</v>
      </c>
      <c r="G789" s="353" t="s">
        <v>941</v>
      </c>
      <c r="H789" s="364" t="s">
        <v>2496</v>
      </c>
      <c r="I789" s="371">
        <v>1</v>
      </c>
      <c r="J789" s="360">
        <v>0</v>
      </c>
      <c r="K789" s="361"/>
      <c r="L789" s="368" t="s">
        <v>2495</v>
      </c>
    </row>
    <row r="790" spans="1:12" ht="15">
      <c r="A790" s="102"/>
      <c r="B790" s="354"/>
      <c r="C790" s="17"/>
      <c r="D790" s="364"/>
      <c r="E790" s="370"/>
      <c r="F790" s="359" t="s">
        <v>1317</v>
      </c>
      <c r="G790" s="353" t="s">
        <v>1199</v>
      </c>
      <c r="H790" s="364" t="s">
        <v>2497</v>
      </c>
      <c r="I790" s="371">
        <v>1</v>
      </c>
      <c r="J790" s="360">
        <v>0.67</v>
      </c>
      <c r="K790" s="361"/>
      <c r="L790" s="368" t="s">
        <v>2498</v>
      </c>
    </row>
    <row r="791" spans="1:12" ht="15">
      <c r="A791" s="102"/>
      <c r="B791" s="354"/>
      <c r="C791" s="17"/>
      <c r="D791" s="369" t="s">
        <v>1512</v>
      </c>
      <c r="E791" s="370" t="s">
        <v>1311</v>
      </c>
      <c r="F791" s="370"/>
      <c r="G791" s="365"/>
      <c r="H791" s="369" t="s">
        <v>2500</v>
      </c>
      <c r="I791" s="371">
        <v>4</v>
      </c>
      <c r="J791" s="372">
        <v>1.44</v>
      </c>
      <c r="K791" s="373"/>
      <c r="L791" s="368" t="s">
        <v>2499</v>
      </c>
    </row>
    <row r="792" spans="1:12" ht="15">
      <c r="A792" s="102"/>
      <c r="B792" s="354"/>
      <c r="C792" s="17"/>
      <c r="D792" s="369" t="s">
        <v>1512</v>
      </c>
      <c r="E792" s="370" t="s">
        <v>1311</v>
      </c>
      <c r="F792" s="370"/>
      <c r="G792" s="365"/>
      <c r="H792" s="369" t="s">
        <v>2501</v>
      </c>
      <c r="I792" s="371">
        <v>2</v>
      </c>
      <c r="J792" s="372">
        <v>1.02</v>
      </c>
      <c r="K792" s="373"/>
      <c r="L792" s="368" t="s">
        <v>2502</v>
      </c>
    </row>
    <row r="793" spans="1:12" ht="28.5">
      <c r="A793" s="102"/>
      <c r="B793" s="354"/>
      <c r="C793" s="17"/>
      <c r="D793" s="369" t="s">
        <v>2229</v>
      </c>
      <c r="E793" s="370" t="s">
        <v>1302</v>
      </c>
      <c r="F793" s="370"/>
      <c r="G793" s="365"/>
      <c r="H793" s="369" t="s">
        <v>3469</v>
      </c>
      <c r="I793" s="371">
        <v>1</v>
      </c>
      <c r="J793" s="372">
        <v>1.41</v>
      </c>
      <c r="K793" s="373"/>
      <c r="L793" s="368" t="s">
        <v>3468</v>
      </c>
    </row>
    <row r="794" spans="1:12" ht="15">
      <c r="A794" s="102"/>
      <c r="B794" s="354"/>
      <c r="C794" s="17"/>
      <c r="D794" s="369"/>
      <c r="E794" s="370"/>
      <c r="F794" s="370" t="s">
        <v>1305</v>
      </c>
      <c r="G794" s="365" t="s">
        <v>1007</v>
      </c>
      <c r="H794" s="369" t="s">
        <v>3554</v>
      </c>
      <c r="I794" s="371">
        <v>1</v>
      </c>
      <c r="J794" s="372" t="s">
        <v>3832</v>
      </c>
      <c r="K794" s="373"/>
      <c r="L794" s="368" t="s">
        <v>3833</v>
      </c>
    </row>
    <row r="795" spans="1:12" ht="15">
      <c r="A795" s="102"/>
      <c r="B795" s="354"/>
      <c r="C795" s="17"/>
      <c r="D795" s="369"/>
      <c r="E795" s="370"/>
      <c r="F795" s="370" t="s">
        <v>1317</v>
      </c>
      <c r="G795" s="365" t="s">
        <v>1156</v>
      </c>
      <c r="H795" s="369"/>
      <c r="I795" s="371">
        <v>1</v>
      </c>
      <c r="J795" s="372" t="s">
        <v>3834</v>
      </c>
      <c r="K795" s="373" t="s">
        <v>3447</v>
      </c>
      <c r="L795" s="368" t="s">
        <v>3835</v>
      </c>
    </row>
    <row r="796" spans="1:12" ht="15">
      <c r="A796" s="102"/>
      <c r="B796" s="354"/>
      <c r="C796" s="17"/>
      <c r="D796" s="369"/>
      <c r="E796" s="370"/>
      <c r="F796" s="370" t="s">
        <v>1317</v>
      </c>
      <c r="G796" s="365" t="s">
        <v>1199</v>
      </c>
      <c r="H796" s="369" t="s">
        <v>3836</v>
      </c>
      <c r="I796" s="371">
        <v>1</v>
      </c>
      <c r="J796" s="372" t="s">
        <v>3837</v>
      </c>
      <c r="K796" s="373"/>
      <c r="L796" s="368" t="s">
        <v>3838</v>
      </c>
    </row>
    <row r="797" spans="1:12" ht="15">
      <c r="A797" s="102"/>
      <c r="B797" s="354"/>
      <c r="C797" s="17"/>
      <c r="D797" s="369"/>
      <c r="E797" s="370"/>
      <c r="F797" s="370" t="s">
        <v>1317</v>
      </c>
      <c r="G797" s="365" t="s">
        <v>1199</v>
      </c>
      <c r="H797" s="369" t="s">
        <v>3839</v>
      </c>
      <c r="I797" s="371">
        <v>1</v>
      </c>
      <c r="J797" s="372" t="s">
        <v>3837</v>
      </c>
      <c r="K797" s="373"/>
      <c r="L797" s="368" t="s">
        <v>3840</v>
      </c>
    </row>
    <row r="798" spans="1:12" ht="15.75">
      <c r="A798" s="102"/>
      <c r="B798" s="105"/>
      <c r="C798" s="105"/>
      <c r="D798" s="321"/>
      <c r="E798" s="396"/>
      <c r="F798" s="105"/>
      <c r="G798" s="321"/>
      <c r="H798" s="104"/>
      <c r="I798" s="417"/>
      <c r="J798" s="108"/>
      <c r="K798" s="133"/>
      <c r="L798" s="321"/>
    </row>
    <row r="799" spans="1:12">
      <c r="A799" s="353"/>
      <c r="B799" s="354" t="s">
        <v>13</v>
      </c>
      <c r="C799" s="355" t="s">
        <v>3251</v>
      </c>
      <c r="D799" s="355"/>
      <c r="E799" s="402"/>
      <c r="F799" s="356"/>
      <c r="G799" s="354"/>
      <c r="H799" s="355"/>
      <c r="I799" s="421">
        <v>1</v>
      </c>
      <c r="J799" s="357" t="s">
        <v>3841</v>
      </c>
      <c r="K799" s="358"/>
      <c r="L799" s="363" t="s">
        <v>2414</v>
      </c>
    </row>
    <row r="800" spans="1:12">
      <c r="A800" s="353"/>
      <c r="B800" s="354"/>
      <c r="C800" s="17"/>
      <c r="D800" s="17" t="s">
        <v>3252</v>
      </c>
      <c r="E800" s="370" t="s">
        <v>1302</v>
      </c>
      <c r="F800" s="359"/>
      <c r="G800" s="353" t="s">
        <v>2424</v>
      </c>
      <c r="H800" s="17"/>
      <c r="I800" s="371">
        <v>7</v>
      </c>
      <c r="J800" s="360">
        <v>482.93</v>
      </c>
      <c r="K800" s="361"/>
      <c r="L800" s="368" t="s">
        <v>2415</v>
      </c>
    </row>
    <row r="801" spans="1:12">
      <c r="A801" s="353"/>
      <c r="B801" s="354"/>
      <c r="C801" s="17"/>
      <c r="D801" s="17"/>
      <c r="E801" s="370"/>
      <c r="F801" s="359" t="s">
        <v>1305</v>
      </c>
      <c r="G801" s="353" t="s">
        <v>999</v>
      </c>
      <c r="H801" s="17" t="s">
        <v>2452</v>
      </c>
      <c r="I801" s="371">
        <v>3</v>
      </c>
      <c r="J801" s="360">
        <v>44.9</v>
      </c>
      <c r="K801" s="361" t="s">
        <v>3650</v>
      </c>
      <c r="L801" s="368" t="s">
        <v>2416</v>
      </c>
    </row>
    <row r="802" spans="1:12">
      <c r="A802" s="353"/>
      <c r="B802" s="354"/>
      <c r="C802" s="17"/>
      <c r="D802" s="17"/>
      <c r="E802" s="370"/>
      <c r="F802" s="359" t="s">
        <v>2117</v>
      </c>
      <c r="G802" s="353" t="s">
        <v>2417</v>
      </c>
      <c r="H802" s="17" t="s">
        <v>2418</v>
      </c>
      <c r="I802" s="371">
        <v>2</v>
      </c>
      <c r="J802" s="360">
        <v>32.74</v>
      </c>
      <c r="K802" s="361" t="s">
        <v>3651</v>
      </c>
      <c r="L802" s="368" t="s">
        <v>2419</v>
      </c>
    </row>
    <row r="803" spans="1:12">
      <c r="A803" s="353"/>
      <c r="B803" s="354"/>
      <c r="C803" s="17"/>
      <c r="D803" s="17"/>
      <c r="E803" s="370"/>
      <c r="F803" s="359" t="s">
        <v>1305</v>
      </c>
      <c r="G803" s="353" t="s">
        <v>4035</v>
      </c>
      <c r="H803" s="17"/>
      <c r="I803" s="371">
        <v>6</v>
      </c>
      <c r="J803" s="360">
        <v>5.6</v>
      </c>
      <c r="K803" s="361" t="s">
        <v>3650</v>
      </c>
      <c r="L803" s="368" t="s">
        <v>2420</v>
      </c>
    </row>
    <row r="804" spans="1:12">
      <c r="A804" s="353"/>
      <c r="B804" s="354"/>
      <c r="C804" s="17"/>
      <c r="D804" s="17"/>
      <c r="E804" s="370"/>
      <c r="F804" s="359" t="s">
        <v>1317</v>
      </c>
      <c r="G804" s="353" t="s">
        <v>1206</v>
      </c>
      <c r="H804" s="17" t="s">
        <v>3755</v>
      </c>
      <c r="I804" s="371">
        <v>1</v>
      </c>
      <c r="J804" s="360">
        <v>28</v>
      </c>
      <c r="K804" s="361" t="s">
        <v>3761</v>
      </c>
      <c r="L804" s="368" t="s">
        <v>2421</v>
      </c>
    </row>
    <row r="805" spans="1:12">
      <c r="A805" s="353"/>
      <c r="B805" s="354"/>
      <c r="C805" s="17"/>
      <c r="D805" s="17"/>
      <c r="E805" s="370"/>
      <c r="F805" s="359" t="s">
        <v>1317</v>
      </c>
      <c r="G805" s="353" t="s">
        <v>1025</v>
      </c>
      <c r="H805" s="17"/>
      <c r="I805" s="371">
        <v>2</v>
      </c>
      <c r="J805" s="360">
        <v>50.51</v>
      </c>
      <c r="K805" s="361"/>
      <c r="L805" s="368" t="s">
        <v>2480</v>
      </c>
    </row>
    <row r="806" spans="1:12">
      <c r="A806" s="353"/>
      <c r="B806" s="354"/>
      <c r="C806" s="17"/>
      <c r="D806" s="17"/>
      <c r="E806" s="370"/>
      <c r="F806" s="359" t="s">
        <v>1317</v>
      </c>
      <c r="G806" s="353" t="s">
        <v>1214</v>
      </c>
      <c r="H806" s="17"/>
      <c r="I806" s="371">
        <v>1</v>
      </c>
      <c r="J806" s="360">
        <v>2.2400000000000002</v>
      </c>
      <c r="K806" s="361" t="s">
        <v>3650</v>
      </c>
      <c r="L806" s="368" t="s">
        <v>2995</v>
      </c>
    </row>
    <row r="807" spans="1:12">
      <c r="A807" s="353"/>
      <c r="B807" s="354"/>
      <c r="C807" s="17"/>
      <c r="D807" s="17"/>
      <c r="E807" s="370"/>
      <c r="F807" s="359" t="s">
        <v>2117</v>
      </c>
      <c r="G807" s="353" t="s">
        <v>2972</v>
      </c>
      <c r="H807" s="17" t="s">
        <v>3246</v>
      </c>
      <c r="I807" s="371">
        <v>2</v>
      </c>
      <c r="J807" s="360">
        <v>101.01</v>
      </c>
      <c r="K807" s="361" t="s">
        <v>3650</v>
      </c>
      <c r="L807" s="368" t="s">
        <v>3001</v>
      </c>
    </row>
    <row r="808" spans="1:12" ht="15">
      <c r="A808" s="102"/>
      <c r="B808" s="354"/>
      <c r="C808" s="17"/>
      <c r="D808" s="17" t="s">
        <v>2423</v>
      </c>
      <c r="E808" s="370" t="s">
        <v>1302</v>
      </c>
      <c r="F808" s="359"/>
      <c r="G808" s="353"/>
      <c r="H808" s="17"/>
      <c r="I808" s="371">
        <v>2</v>
      </c>
      <c r="J808" s="360">
        <v>83.73</v>
      </c>
      <c r="K808" s="361"/>
      <c r="L808" s="368" t="s">
        <v>2422</v>
      </c>
    </row>
    <row r="809" spans="1:12" ht="15">
      <c r="A809" s="102"/>
      <c r="B809" s="354"/>
      <c r="C809" s="17"/>
      <c r="D809" s="17"/>
      <c r="E809" s="370"/>
      <c r="F809" s="359" t="s">
        <v>1305</v>
      </c>
      <c r="G809" s="353" t="s">
        <v>999</v>
      </c>
      <c r="H809" s="17" t="s">
        <v>2452</v>
      </c>
      <c r="I809" s="371">
        <v>3</v>
      </c>
      <c r="J809" s="360">
        <v>3.74</v>
      </c>
      <c r="K809" s="361" t="s">
        <v>3652</v>
      </c>
      <c r="L809" s="368" t="s">
        <v>2425</v>
      </c>
    </row>
    <row r="810" spans="1:12" ht="15">
      <c r="A810" s="102"/>
      <c r="B810" s="354"/>
      <c r="C810" s="17"/>
      <c r="D810" s="17"/>
      <c r="E810" s="370"/>
      <c r="F810" s="359" t="s">
        <v>1305</v>
      </c>
      <c r="G810" s="353" t="s">
        <v>1010</v>
      </c>
      <c r="H810" s="17" t="s">
        <v>2426</v>
      </c>
      <c r="I810" s="371">
        <v>1</v>
      </c>
      <c r="J810" s="360">
        <v>1.26</v>
      </c>
      <c r="K810" s="361" t="s">
        <v>3842</v>
      </c>
      <c r="L810" s="368" t="s">
        <v>2427</v>
      </c>
    </row>
    <row r="811" spans="1:12" ht="15">
      <c r="A811" s="102"/>
      <c r="B811" s="354"/>
      <c r="C811" s="17"/>
      <c r="D811" s="17"/>
      <c r="E811" s="370"/>
      <c r="F811" s="359" t="s">
        <v>1317</v>
      </c>
      <c r="G811" s="353" t="s">
        <v>1218</v>
      </c>
      <c r="H811" s="17"/>
      <c r="I811" s="371">
        <v>3</v>
      </c>
      <c r="J811" s="360">
        <v>0.47</v>
      </c>
      <c r="K811" s="361" t="s">
        <v>3843</v>
      </c>
      <c r="L811" s="368" t="s">
        <v>2428</v>
      </c>
    </row>
    <row r="812" spans="1:12" ht="15">
      <c r="A812" s="102"/>
      <c r="B812" s="354"/>
      <c r="C812" s="17"/>
      <c r="D812" s="17"/>
      <c r="E812" s="370"/>
      <c r="F812" s="359" t="s">
        <v>1317</v>
      </c>
      <c r="G812" s="353" t="s">
        <v>1206</v>
      </c>
      <c r="H812" s="17"/>
      <c r="I812" s="371">
        <v>1</v>
      </c>
      <c r="J812" s="360">
        <v>44.88</v>
      </c>
      <c r="K812" s="361"/>
      <c r="L812" s="368" t="s">
        <v>2429</v>
      </c>
    </row>
    <row r="813" spans="1:12" ht="15">
      <c r="A813" s="102"/>
      <c r="B813" s="354"/>
      <c r="C813" s="17"/>
      <c r="D813" s="17"/>
      <c r="E813" s="370"/>
      <c r="F813" s="359" t="s">
        <v>2117</v>
      </c>
      <c r="G813" s="353" t="s">
        <v>2417</v>
      </c>
      <c r="H813" s="17" t="s">
        <v>2418</v>
      </c>
      <c r="I813" s="371">
        <v>1</v>
      </c>
      <c r="J813" s="360">
        <v>16.37</v>
      </c>
      <c r="K813" s="361" t="s">
        <v>3653</v>
      </c>
      <c r="L813" s="368" t="s">
        <v>2435</v>
      </c>
    </row>
    <row r="814" spans="1:12" ht="15">
      <c r="A814" s="102"/>
      <c r="B814" s="354"/>
      <c r="C814" s="17"/>
      <c r="D814" s="17"/>
      <c r="E814" s="370"/>
      <c r="F814" s="359" t="s">
        <v>1317</v>
      </c>
      <c r="G814" s="353" t="s">
        <v>1025</v>
      </c>
      <c r="H814" s="17"/>
      <c r="I814" s="371">
        <v>1</v>
      </c>
      <c r="J814" s="360">
        <v>25.25</v>
      </c>
      <c r="K814" s="361"/>
      <c r="L814" s="368" t="s">
        <v>2481</v>
      </c>
    </row>
    <row r="815" spans="1:12" ht="15">
      <c r="A815" s="102"/>
      <c r="B815" s="354"/>
      <c r="C815" s="17"/>
      <c r="D815" s="17"/>
      <c r="E815" s="370"/>
      <c r="F815" s="359" t="s">
        <v>1317</v>
      </c>
      <c r="G815" s="353" t="s">
        <v>1214</v>
      </c>
      <c r="H815" s="17"/>
      <c r="I815" s="371">
        <v>1</v>
      </c>
      <c r="J815" s="360">
        <v>0.19</v>
      </c>
      <c r="K815" s="361"/>
      <c r="L815" s="368" t="s">
        <v>2996</v>
      </c>
    </row>
    <row r="816" spans="1:12" ht="15">
      <c r="A816" s="102"/>
      <c r="B816" s="354"/>
      <c r="C816" s="17"/>
      <c r="D816" s="17"/>
      <c r="E816" s="370"/>
      <c r="F816" s="359" t="s">
        <v>2117</v>
      </c>
      <c r="G816" s="353" t="s">
        <v>2972</v>
      </c>
      <c r="H816" s="17"/>
      <c r="I816" s="371">
        <v>1</v>
      </c>
      <c r="J816" s="360">
        <v>8.41</v>
      </c>
      <c r="K816" s="361" t="s">
        <v>3653</v>
      </c>
      <c r="L816" s="368" t="s">
        <v>3000</v>
      </c>
    </row>
    <row r="817" spans="1:12" ht="15">
      <c r="A817" s="102"/>
      <c r="B817" s="354"/>
      <c r="C817" s="17"/>
      <c r="D817" s="17" t="s">
        <v>2430</v>
      </c>
      <c r="E817" s="370" t="s">
        <v>1302</v>
      </c>
      <c r="F817" s="359"/>
      <c r="G817" s="353"/>
      <c r="H817" s="17"/>
      <c r="I817" s="371">
        <v>2</v>
      </c>
      <c r="J817" s="360">
        <v>117.05</v>
      </c>
      <c r="K817" s="361"/>
      <c r="L817" s="368" t="s">
        <v>2431</v>
      </c>
    </row>
    <row r="818" spans="1:12" ht="15">
      <c r="A818" s="102"/>
      <c r="B818" s="354"/>
      <c r="C818" s="17"/>
      <c r="D818" s="17"/>
      <c r="E818" s="370"/>
      <c r="F818" s="359" t="s">
        <v>1305</v>
      </c>
      <c r="G818" s="353" t="s">
        <v>999</v>
      </c>
      <c r="H818" s="17" t="s">
        <v>2452</v>
      </c>
      <c r="I818" s="371">
        <v>6</v>
      </c>
      <c r="J818" s="360">
        <v>9.73</v>
      </c>
      <c r="K818" s="361" t="s">
        <v>3654</v>
      </c>
      <c r="L818" s="368" t="s">
        <v>2432</v>
      </c>
    </row>
    <row r="819" spans="1:12" ht="15">
      <c r="A819" s="102"/>
      <c r="B819" s="354"/>
      <c r="C819" s="17"/>
      <c r="D819" s="17"/>
      <c r="E819" s="370"/>
      <c r="F819" s="359" t="s">
        <v>1305</v>
      </c>
      <c r="G819" s="353" t="s">
        <v>1010</v>
      </c>
      <c r="H819" s="17" t="s">
        <v>2433</v>
      </c>
      <c r="I819" s="371">
        <v>1</v>
      </c>
      <c r="J819" s="360">
        <v>3.17</v>
      </c>
      <c r="K819" s="361" t="s">
        <v>3844</v>
      </c>
      <c r="L819" s="368" t="s">
        <v>2434</v>
      </c>
    </row>
    <row r="820" spans="1:12" ht="15">
      <c r="A820" s="102"/>
      <c r="B820" s="354"/>
      <c r="C820" s="17"/>
      <c r="D820" s="17"/>
      <c r="E820" s="370"/>
      <c r="F820" s="359" t="s">
        <v>1317</v>
      </c>
      <c r="G820" s="353" t="s">
        <v>1218</v>
      </c>
      <c r="H820" s="17"/>
      <c r="I820" s="371">
        <v>6</v>
      </c>
      <c r="J820" s="360">
        <v>1.21</v>
      </c>
      <c r="K820" s="361" t="s">
        <v>3654</v>
      </c>
      <c r="L820" s="368" t="s">
        <v>2436</v>
      </c>
    </row>
    <row r="821" spans="1:12" ht="15">
      <c r="A821" s="102"/>
      <c r="B821" s="354"/>
      <c r="C821" s="17"/>
      <c r="D821" s="17"/>
      <c r="E821" s="370"/>
      <c r="F821" s="359" t="s">
        <v>1317</v>
      </c>
      <c r="G821" s="353" t="s">
        <v>1206</v>
      </c>
      <c r="H821" s="17"/>
      <c r="I821" s="371">
        <v>1</v>
      </c>
      <c r="J821" s="360">
        <v>44.88</v>
      </c>
      <c r="K821" s="361"/>
      <c r="L821" s="368" t="s">
        <v>2437</v>
      </c>
    </row>
    <row r="822" spans="1:12" ht="15">
      <c r="A822" s="102"/>
      <c r="B822" s="354"/>
      <c r="C822" s="17"/>
      <c r="D822" s="17"/>
      <c r="E822" s="370"/>
      <c r="F822" s="359" t="s">
        <v>1317</v>
      </c>
      <c r="G822" s="353" t="s">
        <v>1025</v>
      </c>
      <c r="H822" s="17"/>
      <c r="I822" s="371">
        <v>2</v>
      </c>
      <c r="J822" s="360">
        <v>68</v>
      </c>
      <c r="K822" s="361"/>
      <c r="L822" s="368" t="s">
        <v>2482</v>
      </c>
    </row>
    <row r="823" spans="1:12" ht="15">
      <c r="A823" s="102"/>
      <c r="B823" s="354"/>
      <c r="C823" s="17"/>
      <c r="D823" s="17"/>
      <c r="E823" s="370"/>
      <c r="F823" s="359" t="s">
        <v>1317</v>
      </c>
      <c r="G823" s="353" t="s">
        <v>1214</v>
      </c>
      <c r="H823" s="17"/>
      <c r="I823" s="371">
        <v>1</v>
      </c>
      <c r="J823" s="360">
        <v>0.48</v>
      </c>
      <c r="K823" s="361"/>
      <c r="L823" s="368" t="s">
        <v>2997</v>
      </c>
    </row>
    <row r="824" spans="1:12" ht="15">
      <c r="A824" s="102"/>
      <c r="B824" s="354"/>
      <c r="C824" s="17"/>
      <c r="D824" s="17"/>
      <c r="E824" s="370"/>
      <c r="F824" s="359" t="s">
        <v>1317</v>
      </c>
      <c r="G824" s="353" t="s">
        <v>1208</v>
      </c>
      <c r="H824" s="17"/>
      <c r="I824" s="371">
        <v>1</v>
      </c>
      <c r="J824" s="360">
        <v>0.19</v>
      </c>
      <c r="K824" s="361" t="s">
        <v>3655</v>
      </c>
      <c r="L824" s="368" t="s">
        <v>3243</v>
      </c>
    </row>
    <row r="825" spans="1:12" ht="15">
      <c r="A825" s="102"/>
      <c r="B825" s="354"/>
      <c r="C825" s="17"/>
      <c r="D825" s="17"/>
      <c r="E825" s="370"/>
      <c r="F825" s="359" t="s">
        <v>1317</v>
      </c>
      <c r="G825" s="353" t="s">
        <v>1199</v>
      </c>
      <c r="H825" s="17" t="s">
        <v>3249</v>
      </c>
      <c r="I825" s="371">
        <v>3</v>
      </c>
      <c r="J825" s="360">
        <v>0.67</v>
      </c>
      <c r="K825" s="361" t="s">
        <v>3656</v>
      </c>
      <c r="L825" s="368" t="s">
        <v>3250</v>
      </c>
    </row>
    <row r="826" spans="1:12" ht="15">
      <c r="A826" s="102"/>
      <c r="B826" s="354"/>
      <c r="C826" s="17"/>
      <c r="D826" s="17"/>
      <c r="E826" s="370"/>
      <c r="F826" s="359" t="s">
        <v>1309</v>
      </c>
      <c r="G826" s="353" t="s">
        <v>1228</v>
      </c>
      <c r="H826" s="17" t="s">
        <v>3845</v>
      </c>
      <c r="I826" s="371">
        <v>4</v>
      </c>
      <c r="J826" s="360">
        <v>0.04</v>
      </c>
      <c r="K826" s="361"/>
      <c r="L826" s="368" t="s">
        <v>3657</v>
      </c>
    </row>
    <row r="827" spans="1:12" ht="15">
      <c r="A827" s="102"/>
      <c r="B827" s="354"/>
      <c r="C827" s="17"/>
      <c r="D827" s="17"/>
      <c r="E827" s="370"/>
      <c r="F827" s="359" t="s">
        <v>1309</v>
      </c>
      <c r="G827" s="353" t="s">
        <v>1230</v>
      </c>
      <c r="H827" s="17" t="s">
        <v>3846</v>
      </c>
      <c r="I827" s="371">
        <v>4</v>
      </c>
      <c r="J827" s="360">
        <v>0.02</v>
      </c>
      <c r="K827" s="361"/>
      <c r="L827" s="368" t="s">
        <v>3658</v>
      </c>
    </row>
    <row r="828" spans="1:12" ht="15">
      <c r="A828" s="102"/>
      <c r="B828" s="354"/>
      <c r="C828" s="17"/>
      <c r="D828" s="17"/>
      <c r="E828" s="370"/>
      <c r="F828" s="359" t="s">
        <v>1309</v>
      </c>
      <c r="G828" s="353" t="s">
        <v>1235</v>
      </c>
      <c r="H828" s="17" t="s">
        <v>3847</v>
      </c>
      <c r="I828" s="371">
        <v>4</v>
      </c>
      <c r="J828" s="360">
        <v>0.01</v>
      </c>
      <c r="K828" s="361"/>
      <c r="L828" s="368" t="s">
        <v>3659</v>
      </c>
    </row>
    <row r="829" spans="1:12" ht="15">
      <c r="A829" s="102"/>
      <c r="B829" s="354"/>
      <c r="C829" s="17"/>
      <c r="D829" s="17"/>
      <c r="E829" s="370"/>
      <c r="F829" s="359" t="s">
        <v>1317</v>
      </c>
      <c r="G829" s="353" t="s">
        <v>1210</v>
      </c>
      <c r="H829" s="17"/>
      <c r="I829" s="371">
        <v>12</v>
      </c>
      <c r="J829" s="360">
        <v>0.03</v>
      </c>
      <c r="K829" s="361"/>
      <c r="L829" s="368" t="s">
        <v>3848</v>
      </c>
    </row>
    <row r="830" spans="1:12" ht="15">
      <c r="A830" s="102"/>
      <c r="B830" s="354"/>
      <c r="C830" s="17"/>
      <c r="D830" s="17" t="s">
        <v>2474</v>
      </c>
      <c r="E830" s="370" t="s">
        <v>1302</v>
      </c>
      <c r="F830" s="359"/>
      <c r="G830" s="353"/>
      <c r="H830" s="17"/>
      <c r="I830" s="371">
        <v>2</v>
      </c>
      <c r="J830" s="360">
        <v>71.319999999999993</v>
      </c>
      <c r="K830" s="361"/>
      <c r="L830" s="368" t="s">
        <v>2475</v>
      </c>
    </row>
    <row r="831" spans="1:12" ht="15">
      <c r="A831" s="102"/>
      <c r="B831" s="354"/>
      <c r="C831" s="17"/>
      <c r="D831" s="17"/>
      <c r="E831" s="370"/>
      <c r="F831" s="359" t="s">
        <v>1305</v>
      </c>
      <c r="G831" s="353" t="s">
        <v>999</v>
      </c>
      <c r="H831" s="17" t="s">
        <v>2452</v>
      </c>
      <c r="I831" s="371">
        <v>4</v>
      </c>
      <c r="J831" s="360">
        <v>4.1100000000000003</v>
      </c>
      <c r="K831" s="361" t="s">
        <v>3652</v>
      </c>
      <c r="L831" s="368" t="s">
        <v>2476</v>
      </c>
    </row>
    <row r="832" spans="1:12" ht="15">
      <c r="A832" s="102"/>
      <c r="B832" s="354"/>
      <c r="C832" s="17"/>
      <c r="D832" s="17"/>
      <c r="E832" s="370"/>
      <c r="F832" s="359" t="s">
        <v>1317</v>
      </c>
      <c r="G832" s="353" t="s">
        <v>1218</v>
      </c>
      <c r="H832" s="17"/>
      <c r="I832" s="371">
        <v>4</v>
      </c>
      <c r="J832" s="360">
        <v>0.51</v>
      </c>
      <c r="K832" s="361"/>
      <c r="L832" s="368" t="s">
        <v>2477</v>
      </c>
    </row>
    <row r="833" spans="1:12" ht="15">
      <c r="A833" s="102"/>
      <c r="B833" s="354"/>
      <c r="C833" s="17"/>
      <c r="D833" s="17"/>
      <c r="E833" s="370"/>
      <c r="F833" s="359" t="s">
        <v>1317</v>
      </c>
      <c r="G833" s="353" t="s">
        <v>1206</v>
      </c>
      <c r="H833" s="17"/>
      <c r="I833" s="371">
        <v>1</v>
      </c>
      <c r="J833" s="360">
        <v>44.88</v>
      </c>
      <c r="K833" s="361"/>
      <c r="L833" s="368" t="s">
        <v>2478</v>
      </c>
    </row>
    <row r="834" spans="1:12" ht="15">
      <c r="A834" s="102"/>
      <c r="B834" s="354"/>
      <c r="C834" s="17"/>
      <c r="D834" s="17"/>
      <c r="E834" s="370"/>
      <c r="F834" s="359" t="s">
        <v>1317</v>
      </c>
      <c r="G834" s="353" t="s">
        <v>1025</v>
      </c>
      <c r="H834" s="17"/>
      <c r="I834" s="371">
        <v>1</v>
      </c>
      <c r="J834" s="360">
        <v>33.56</v>
      </c>
      <c r="K834" s="361"/>
      <c r="L834" s="368" t="s">
        <v>2483</v>
      </c>
    </row>
    <row r="835" spans="1:12" ht="15">
      <c r="A835" s="102"/>
      <c r="B835" s="354"/>
      <c r="C835" s="17"/>
      <c r="D835" s="17"/>
      <c r="E835" s="370"/>
      <c r="F835" s="359" t="s">
        <v>1317</v>
      </c>
      <c r="G835" s="353" t="s">
        <v>1214</v>
      </c>
      <c r="H835" s="17"/>
      <c r="I835" s="371">
        <v>1</v>
      </c>
      <c r="J835" s="360">
        <v>0.75</v>
      </c>
      <c r="K835" s="361"/>
      <c r="L835" s="368" t="s">
        <v>2998</v>
      </c>
    </row>
    <row r="836" spans="1:12" ht="15">
      <c r="A836" s="102"/>
      <c r="B836" s="354"/>
      <c r="C836" s="17"/>
      <c r="D836" s="17"/>
      <c r="E836" s="370"/>
      <c r="F836" s="359" t="s">
        <v>1317</v>
      </c>
      <c r="G836" s="353" t="s">
        <v>1208</v>
      </c>
      <c r="H836" s="17" t="s">
        <v>3066</v>
      </c>
      <c r="I836" s="371">
        <v>7</v>
      </c>
      <c r="J836" s="360">
        <v>0.19</v>
      </c>
      <c r="K836" s="361" t="s">
        <v>3660</v>
      </c>
      <c r="L836" s="368" t="s">
        <v>3238</v>
      </c>
    </row>
    <row r="837" spans="1:12" ht="15">
      <c r="A837" s="102"/>
      <c r="B837" s="354"/>
      <c r="C837" s="17"/>
      <c r="D837" s="17"/>
      <c r="E837" s="370"/>
      <c r="F837" s="359" t="s">
        <v>1309</v>
      </c>
      <c r="G837" s="353" t="s">
        <v>1228</v>
      </c>
      <c r="H837" s="17" t="s">
        <v>3845</v>
      </c>
      <c r="I837" s="371">
        <v>7</v>
      </c>
      <c r="J837" s="360">
        <v>0.04</v>
      </c>
      <c r="K837" s="361"/>
      <c r="L837" s="368" t="s">
        <v>3239</v>
      </c>
    </row>
    <row r="838" spans="1:12" ht="15">
      <c r="A838" s="102"/>
      <c r="B838" s="354"/>
      <c r="C838" s="17"/>
      <c r="D838" s="17"/>
      <c r="E838" s="370"/>
      <c r="F838" s="359" t="s">
        <v>1309</v>
      </c>
      <c r="G838" s="353" t="s">
        <v>1235</v>
      </c>
      <c r="H838" s="17" t="s">
        <v>3846</v>
      </c>
      <c r="I838" s="371">
        <v>7</v>
      </c>
      <c r="J838" s="360">
        <v>0.02</v>
      </c>
      <c r="K838" s="361"/>
      <c r="L838" s="368" t="s">
        <v>3240</v>
      </c>
    </row>
    <row r="839" spans="1:12" ht="15">
      <c r="A839" s="102"/>
      <c r="B839" s="354"/>
      <c r="C839" s="17"/>
      <c r="D839" s="17"/>
      <c r="E839" s="370"/>
      <c r="F839" s="359" t="s">
        <v>1309</v>
      </c>
      <c r="G839" s="353" t="s">
        <v>1228</v>
      </c>
      <c r="H839" s="17" t="s">
        <v>3847</v>
      </c>
      <c r="I839" s="371">
        <v>7</v>
      </c>
      <c r="J839" s="360">
        <v>0.01</v>
      </c>
      <c r="K839" s="361"/>
      <c r="L839" s="368" t="s">
        <v>3241</v>
      </c>
    </row>
    <row r="840" spans="1:12" ht="15">
      <c r="A840" s="102"/>
      <c r="B840" s="354"/>
      <c r="C840" s="17"/>
      <c r="D840" s="17"/>
      <c r="E840" s="370"/>
      <c r="F840" s="359" t="s">
        <v>1317</v>
      </c>
      <c r="G840" s="353" t="s">
        <v>1210</v>
      </c>
      <c r="H840" s="17"/>
      <c r="I840" s="371">
        <v>21</v>
      </c>
      <c r="J840" s="360">
        <v>0.03</v>
      </c>
      <c r="K840" s="361"/>
      <c r="L840" s="368" t="s">
        <v>3242</v>
      </c>
    </row>
    <row r="841" spans="1:12" ht="15">
      <c r="A841" s="102"/>
      <c r="B841" s="354"/>
      <c r="C841" s="17"/>
      <c r="D841" s="17"/>
      <c r="E841" s="370"/>
      <c r="F841" s="359" t="s">
        <v>1317</v>
      </c>
      <c r="G841" s="353" t="s">
        <v>1199</v>
      </c>
      <c r="H841" s="17" t="s">
        <v>3244</v>
      </c>
      <c r="I841" s="371">
        <v>1</v>
      </c>
      <c r="J841" s="360">
        <v>0.65</v>
      </c>
      <c r="K841" s="361" t="s">
        <v>3661</v>
      </c>
      <c r="L841" s="368" t="s">
        <v>3245</v>
      </c>
    </row>
    <row r="842" spans="1:12" ht="15">
      <c r="A842" s="102"/>
      <c r="B842" s="354"/>
      <c r="C842" s="17"/>
      <c r="D842" s="17"/>
      <c r="E842" s="370"/>
      <c r="F842" s="359" t="s">
        <v>1317</v>
      </c>
      <c r="G842" s="353" t="s">
        <v>1199</v>
      </c>
      <c r="H842" s="17" t="s">
        <v>3248</v>
      </c>
      <c r="I842" s="371">
        <v>3</v>
      </c>
      <c r="J842" s="360">
        <v>0.65</v>
      </c>
      <c r="K842" s="361" t="s">
        <v>3662</v>
      </c>
      <c r="L842" s="368" t="s">
        <v>3247</v>
      </c>
    </row>
    <row r="843" spans="1:12" ht="15">
      <c r="A843" s="102"/>
      <c r="B843" s="354"/>
      <c r="C843" s="17"/>
      <c r="D843" s="364" t="s">
        <v>3278</v>
      </c>
      <c r="E843" s="370" t="s">
        <v>1302</v>
      </c>
      <c r="F843" s="359"/>
      <c r="G843" s="353"/>
      <c r="H843" s="17"/>
      <c r="I843" s="371">
        <v>1</v>
      </c>
      <c r="J843" s="360">
        <v>9.1</v>
      </c>
      <c r="K843" s="361"/>
      <c r="L843" s="368" t="s">
        <v>3222</v>
      </c>
    </row>
    <row r="844" spans="1:12" ht="15">
      <c r="A844" s="102"/>
      <c r="B844" s="354"/>
      <c r="C844" s="17"/>
      <c r="D844" s="364"/>
      <c r="E844" s="370"/>
      <c r="F844" s="359" t="s">
        <v>1317</v>
      </c>
      <c r="G844" s="353" t="s">
        <v>1199</v>
      </c>
      <c r="H844" s="364" t="s">
        <v>3224</v>
      </c>
      <c r="I844" s="371">
        <v>7</v>
      </c>
      <c r="J844" s="360">
        <v>0.65</v>
      </c>
      <c r="K844" s="361" t="s">
        <v>3663</v>
      </c>
      <c r="L844" s="368" t="s">
        <v>3223</v>
      </c>
    </row>
    <row r="845" spans="1:12" ht="15">
      <c r="A845" s="102"/>
      <c r="B845" s="354"/>
      <c r="C845" s="17"/>
      <c r="D845" s="364"/>
      <c r="E845" s="370"/>
      <c r="F845" s="359" t="s">
        <v>1317</v>
      </c>
      <c r="G845" s="353" t="s">
        <v>1199</v>
      </c>
      <c r="H845" s="364" t="s">
        <v>3225</v>
      </c>
      <c r="I845" s="371">
        <v>7</v>
      </c>
      <c r="J845" s="360">
        <v>0.65</v>
      </c>
      <c r="K845" s="361" t="s">
        <v>3663</v>
      </c>
      <c r="L845" s="368" t="s">
        <v>3226</v>
      </c>
    </row>
    <row r="846" spans="1:12" ht="29.25">
      <c r="A846" s="102"/>
      <c r="B846" s="354"/>
      <c r="C846" s="17"/>
      <c r="D846" s="364" t="s">
        <v>3253</v>
      </c>
      <c r="E846" s="370" t="s">
        <v>1302</v>
      </c>
      <c r="F846" s="359"/>
      <c r="G846" s="353"/>
      <c r="H846" s="364"/>
      <c r="I846" s="371">
        <v>17</v>
      </c>
      <c r="J846" s="360">
        <v>21.33</v>
      </c>
      <c r="K846" s="361"/>
      <c r="L846" s="368" t="s">
        <v>3227</v>
      </c>
    </row>
    <row r="847" spans="1:12" ht="15">
      <c r="A847" s="102"/>
      <c r="B847" s="354"/>
      <c r="C847" s="17"/>
      <c r="D847" s="364"/>
      <c r="E847" s="370"/>
      <c r="F847" s="359" t="s">
        <v>1305</v>
      </c>
      <c r="G847" s="353" t="s">
        <v>1007</v>
      </c>
      <c r="H847" s="364" t="s">
        <v>3254</v>
      </c>
      <c r="I847" s="371">
        <v>1</v>
      </c>
      <c r="J847" s="360">
        <v>0.18</v>
      </c>
      <c r="K847" s="361" t="s">
        <v>3664</v>
      </c>
      <c r="L847" s="368" t="s">
        <v>3228</v>
      </c>
    </row>
    <row r="848" spans="1:12" ht="15">
      <c r="A848" s="102"/>
      <c r="B848" s="354"/>
      <c r="C848" s="17"/>
      <c r="D848" s="364"/>
      <c r="E848" s="370"/>
      <c r="F848" s="359" t="s">
        <v>1317</v>
      </c>
      <c r="G848" s="353" t="s">
        <v>1156</v>
      </c>
      <c r="H848" s="364"/>
      <c r="I848" s="371">
        <v>1</v>
      </c>
      <c r="J848" s="360">
        <v>2.0099999999999998</v>
      </c>
      <c r="K848" s="361" t="s">
        <v>3905</v>
      </c>
      <c r="L848" s="368" t="s">
        <v>3229</v>
      </c>
    </row>
    <row r="849" spans="1:12" ht="15">
      <c r="A849" s="102"/>
      <c r="B849" s="354"/>
      <c r="C849" s="17"/>
      <c r="D849" s="364"/>
      <c r="E849" s="370"/>
      <c r="F849" s="370" t="s">
        <v>1317</v>
      </c>
      <c r="G849" s="365" t="s">
        <v>1561</v>
      </c>
      <c r="H849" s="364" t="s">
        <v>3233</v>
      </c>
      <c r="I849" s="371">
        <v>1</v>
      </c>
      <c r="J849" s="360">
        <v>0.25</v>
      </c>
      <c r="K849" s="361" t="s">
        <v>3666</v>
      </c>
      <c r="L849" s="368" t="s">
        <v>3230</v>
      </c>
    </row>
    <row r="850" spans="1:12" ht="15">
      <c r="A850" s="102"/>
      <c r="B850" s="354"/>
      <c r="C850" s="17"/>
      <c r="D850" s="364"/>
      <c r="E850" s="370"/>
      <c r="F850" s="359" t="s">
        <v>1317</v>
      </c>
      <c r="G850" s="353" t="s">
        <v>1211</v>
      </c>
      <c r="H850" s="364" t="s">
        <v>3231</v>
      </c>
      <c r="I850" s="371">
        <v>1</v>
      </c>
      <c r="J850" s="360">
        <v>0.89</v>
      </c>
      <c r="K850" s="361" t="s">
        <v>3906</v>
      </c>
      <c r="L850" s="368" t="s">
        <v>3232</v>
      </c>
    </row>
    <row r="851" spans="1:12" ht="15">
      <c r="A851" s="102"/>
      <c r="B851" s="354"/>
      <c r="C851" s="17"/>
      <c r="D851" s="364"/>
      <c r="E851" s="370"/>
      <c r="F851" s="359" t="s">
        <v>1309</v>
      </c>
      <c r="G851" s="353" t="s">
        <v>3271</v>
      </c>
      <c r="H851" s="364" t="s">
        <v>2659</v>
      </c>
      <c r="I851" s="371">
        <v>12</v>
      </c>
      <c r="J851" s="360">
        <v>0.04</v>
      </c>
      <c r="K851" s="361"/>
      <c r="L851" s="368" t="s">
        <v>3234</v>
      </c>
    </row>
    <row r="852" spans="1:12" ht="15">
      <c r="A852" s="102"/>
      <c r="B852" s="354"/>
      <c r="C852" s="17"/>
      <c r="D852" s="364"/>
      <c r="E852" s="370"/>
      <c r="F852" s="359" t="s">
        <v>1309</v>
      </c>
      <c r="G852" s="353" t="s">
        <v>1230</v>
      </c>
      <c r="H852" s="364" t="s">
        <v>2659</v>
      </c>
      <c r="I852" s="371">
        <v>24</v>
      </c>
      <c r="J852" s="360">
        <v>0.02</v>
      </c>
      <c r="K852" s="361"/>
      <c r="L852" s="368" t="s">
        <v>3235</v>
      </c>
    </row>
    <row r="853" spans="1:12" ht="15">
      <c r="A853" s="102"/>
      <c r="B853" s="354"/>
      <c r="C853" s="17"/>
      <c r="D853" s="364"/>
      <c r="E853" s="370"/>
      <c r="F853" s="359" t="s">
        <v>1317</v>
      </c>
      <c r="G853" s="353" t="s">
        <v>1210</v>
      </c>
      <c r="H853" s="364"/>
      <c r="I853" s="371">
        <v>60</v>
      </c>
      <c r="J853" s="360">
        <v>0.28000000000000003</v>
      </c>
      <c r="K853" s="361"/>
      <c r="L853" s="368" t="s">
        <v>3236</v>
      </c>
    </row>
    <row r="854" spans="1:12" ht="15">
      <c r="A854" s="102"/>
      <c r="B854" s="354"/>
      <c r="C854" s="17"/>
      <c r="D854" s="364"/>
      <c r="E854" s="370"/>
      <c r="F854" s="359" t="s">
        <v>1309</v>
      </c>
      <c r="G854" s="353" t="s">
        <v>1235</v>
      </c>
      <c r="H854" s="364" t="s">
        <v>2659</v>
      </c>
      <c r="I854" s="371">
        <v>24</v>
      </c>
      <c r="J854" s="360">
        <v>0.01</v>
      </c>
      <c r="K854" s="361"/>
      <c r="L854" s="368" t="s">
        <v>3237</v>
      </c>
    </row>
    <row r="855" spans="1:12" ht="15">
      <c r="A855" s="102"/>
      <c r="B855" s="354"/>
      <c r="C855" s="17"/>
      <c r="D855" s="364" t="s">
        <v>3426</v>
      </c>
      <c r="E855" s="370" t="s">
        <v>1302</v>
      </c>
      <c r="F855" s="359"/>
      <c r="G855" s="353"/>
      <c r="H855" s="364"/>
      <c r="I855" s="371">
        <v>1</v>
      </c>
      <c r="J855" s="360">
        <v>233.31</v>
      </c>
      <c r="K855" s="361"/>
      <c r="L855" s="368" t="s">
        <v>3255</v>
      </c>
    </row>
    <row r="856" spans="1:12" ht="15">
      <c r="A856" s="102"/>
      <c r="B856" s="354"/>
      <c r="C856" s="17"/>
      <c r="D856" s="364"/>
      <c r="E856" s="370"/>
      <c r="F856" s="359" t="s">
        <v>1305</v>
      </c>
      <c r="G856" s="353" t="s">
        <v>999</v>
      </c>
      <c r="H856" s="364" t="s">
        <v>3256</v>
      </c>
      <c r="I856" s="371">
        <v>3</v>
      </c>
      <c r="J856" s="360">
        <v>12.35</v>
      </c>
      <c r="K856" s="361" t="s">
        <v>3668</v>
      </c>
      <c r="L856" s="368" t="s">
        <v>3257</v>
      </c>
    </row>
    <row r="857" spans="1:12" ht="15">
      <c r="A857" s="102"/>
      <c r="B857" s="354"/>
      <c r="C857" s="17"/>
      <c r="D857" s="364"/>
      <c r="E857" s="370"/>
      <c r="F857" s="359" t="s">
        <v>1317</v>
      </c>
      <c r="G857" s="353" t="s">
        <v>1218</v>
      </c>
      <c r="H857" s="364"/>
      <c r="I857" s="371">
        <v>6</v>
      </c>
      <c r="J857" s="360">
        <v>1.54</v>
      </c>
      <c r="K857" s="361"/>
      <c r="L857" s="368" t="s">
        <v>3258</v>
      </c>
    </row>
    <row r="858" spans="1:12" ht="15">
      <c r="A858" s="102"/>
      <c r="B858" s="354"/>
      <c r="C858" s="17"/>
      <c r="D858" s="364"/>
      <c r="E858" s="370"/>
      <c r="F858" s="359" t="s">
        <v>1317</v>
      </c>
      <c r="G858" s="353" t="s">
        <v>1206</v>
      </c>
      <c r="H858" s="364"/>
      <c r="I858" s="371">
        <v>2</v>
      </c>
      <c r="J858" s="360">
        <v>28</v>
      </c>
      <c r="K858" s="361"/>
      <c r="L858" s="368" t="s">
        <v>3259</v>
      </c>
    </row>
    <row r="859" spans="1:12" ht="15">
      <c r="A859" s="102"/>
      <c r="B859" s="354"/>
      <c r="C859" s="17"/>
      <c r="D859" s="364"/>
      <c r="E859" s="370"/>
      <c r="F859" s="359" t="s">
        <v>1317</v>
      </c>
      <c r="G859" s="353" t="s">
        <v>1025</v>
      </c>
      <c r="H859" s="364"/>
      <c r="I859" s="371">
        <v>2</v>
      </c>
      <c r="J859" s="360">
        <v>27.78</v>
      </c>
      <c r="K859" s="361"/>
      <c r="L859" s="368" t="s">
        <v>3260</v>
      </c>
    </row>
    <row r="860" spans="1:12" ht="15">
      <c r="A860" s="102"/>
      <c r="B860" s="354"/>
      <c r="C860" s="17"/>
      <c r="D860" s="364"/>
      <c r="E860" s="370"/>
      <c r="F860" s="359" t="s">
        <v>1317</v>
      </c>
      <c r="G860" s="353" t="s">
        <v>1214</v>
      </c>
      <c r="H860" s="364"/>
      <c r="I860" s="371">
        <v>1</v>
      </c>
      <c r="J860" s="360">
        <v>0.62</v>
      </c>
      <c r="K860" s="361"/>
      <c r="L860" s="368" t="s">
        <v>3261</v>
      </c>
    </row>
    <row r="861" spans="1:12" ht="15">
      <c r="A861" s="102"/>
      <c r="B861" s="354"/>
      <c r="C861" s="17"/>
      <c r="D861" s="364"/>
      <c r="E861" s="370"/>
      <c r="F861" s="359" t="s">
        <v>2117</v>
      </c>
      <c r="G861" s="353" t="s">
        <v>1239</v>
      </c>
      <c r="H861" s="364" t="s">
        <v>3246</v>
      </c>
      <c r="I861" s="371">
        <v>2</v>
      </c>
      <c r="J861" s="360">
        <v>37.42</v>
      </c>
      <c r="K861" s="361" t="s">
        <v>3669</v>
      </c>
      <c r="L861" s="368" t="s">
        <v>3262</v>
      </c>
    </row>
    <row r="862" spans="1:12" ht="29.25">
      <c r="A862" s="102"/>
      <c r="B862" s="354"/>
      <c r="C862" s="17"/>
      <c r="D862" s="364" t="s">
        <v>3264</v>
      </c>
      <c r="E862" s="370" t="s">
        <v>1302</v>
      </c>
      <c r="F862" s="359"/>
      <c r="G862" s="353"/>
      <c r="H862" s="364"/>
      <c r="I862" s="371">
        <v>15</v>
      </c>
      <c r="J862" s="360">
        <v>51.67</v>
      </c>
      <c r="K862" s="361"/>
      <c r="L862" s="368" t="s">
        <v>3263</v>
      </c>
    </row>
    <row r="863" spans="1:12" ht="15">
      <c r="A863" s="102"/>
      <c r="B863" s="354"/>
      <c r="C863" s="17"/>
      <c r="D863" s="364"/>
      <c r="E863" s="370"/>
      <c r="F863" s="370" t="s">
        <v>1305</v>
      </c>
      <c r="G863" s="365" t="s">
        <v>1007</v>
      </c>
      <c r="H863" s="369" t="s">
        <v>3266</v>
      </c>
      <c r="I863" s="371">
        <v>1</v>
      </c>
      <c r="J863" s="360">
        <v>0.27</v>
      </c>
      <c r="K863" s="361" t="s">
        <v>3670</v>
      </c>
      <c r="L863" s="368" t="s">
        <v>3265</v>
      </c>
    </row>
    <row r="864" spans="1:12" ht="15">
      <c r="A864" s="102"/>
      <c r="B864" s="354"/>
      <c r="C864" s="17"/>
      <c r="D864" s="364"/>
      <c r="E864" s="370"/>
      <c r="F864" s="370" t="s">
        <v>1317</v>
      </c>
      <c r="G864" s="365" t="s">
        <v>1156</v>
      </c>
      <c r="H864" s="369"/>
      <c r="I864" s="371">
        <v>1</v>
      </c>
      <c r="J864" s="360">
        <v>2.6</v>
      </c>
      <c r="K864" s="361" t="s">
        <v>3665</v>
      </c>
      <c r="L864" s="368" t="s">
        <v>3267</v>
      </c>
    </row>
    <row r="865" spans="1:12" ht="15">
      <c r="A865" s="102"/>
      <c r="B865" s="354"/>
      <c r="C865" s="17"/>
      <c r="D865" s="364"/>
      <c r="E865" s="370"/>
      <c r="F865" s="370" t="s">
        <v>1317</v>
      </c>
      <c r="G865" s="365" t="s">
        <v>1561</v>
      </c>
      <c r="H865" s="369" t="s">
        <v>3233</v>
      </c>
      <c r="I865" s="371">
        <v>1</v>
      </c>
      <c r="J865" s="360">
        <v>0.02</v>
      </c>
      <c r="K865" s="361" t="s">
        <v>3671</v>
      </c>
      <c r="L865" s="368" t="s">
        <v>3268</v>
      </c>
    </row>
    <row r="866" spans="1:12" ht="15">
      <c r="A866" s="102"/>
      <c r="B866" s="354"/>
      <c r="C866" s="17"/>
      <c r="D866" s="364"/>
      <c r="E866" s="370"/>
      <c r="F866" s="370" t="s">
        <v>1317</v>
      </c>
      <c r="G866" s="365" t="s">
        <v>1211</v>
      </c>
      <c r="H866" s="369" t="s">
        <v>3231</v>
      </c>
      <c r="I866" s="371">
        <v>1</v>
      </c>
      <c r="J866" s="360">
        <v>0.08</v>
      </c>
      <c r="K866" s="361" t="s">
        <v>3667</v>
      </c>
      <c r="L866" s="368" t="s">
        <v>3269</v>
      </c>
    </row>
    <row r="867" spans="1:12" ht="15">
      <c r="A867" s="102"/>
      <c r="B867" s="354"/>
      <c r="C867" s="17"/>
      <c r="D867" s="364"/>
      <c r="E867" s="370"/>
      <c r="F867" s="370" t="s">
        <v>1309</v>
      </c>
      <c r="G867" s="365" t="s">
        <v>3271</v>
      </c>
      <c r="H867" s="369" t="s">
        <v>2659</v>
      </c>
      <c r="I867" s="371">
        <v>6</v>
      </c>
      <c r="J867" s="360">
        <v>1.77</v>
      </c>
      <c r="K867" s="361" t="s">
        <v>3907</v>
      </c>
      <c r="L867" s="368" t="s">
        <v>3270</v>
      </c>
    </row>
    <row r="868" spans="1:12" ht="15">
      <c r="A868" s="102"/>
      <c r="B868" s="354"/>
      <c r="C868" s="17"/>
      <c r="D868" s="364"/>
      <c r="E868" s="370"/>
      <c r="F868" s="370" t="s">
        <v>1309</v>
      </c>
      <c r="G868" s="365" t="s">
        <v>1230</v>
      </c>
      <c r="H868" s="369" t="s">
        <v>2659</v>
      </c>
      <c r="I868" s="371">
        <v>12</v>
      </c>
      <c r="J868" s="360">
        <v>0.02</v>
      </c>
      <c r="K868" s="361" t="s">
        <v>3908</v>
      </c>
      <c r="L868" s="368" t="s">
        <v>3272</v>
      </c>
    </row>
    <row r="869" spans="1:12" ht="15">
      <c r="A869" s="102"/>
      <c r="B869" s="354"/>
      <c r="C869" s="17"/>
      <c r="D869" s="364"/>
      <c r="E869" s="370"/>
      <c r="F869" s="370" t="s">
        <v>1309</v>
      </c>
      <c r="G869" s="365" t="s">
        <v>1235</v>
      </c>
      <c r="H869" s="369" t="s">
        <v>2659</v>
      </c>
      <c r="I869" s="371">
        <v>12</v>
      </c>
      <c r="J869" s="360">
        <v>0.01</v>
      </c>
      <c r="K869" s="361" t="s">
        <v>3909</v>
      </c>
      <c r="L869" s="368" t="s">
        <v>3273</v>
      </c>
    </row>
    <row r="870" spans="1:12" ht="15">
      <c r="A870" s="102"/>
      <c r="B870" s="354"/>
      <c r="C870" s="17"/>
      <c r="D870" s="364"/>
      <c r="E870" s="370"/>
      <c r="F870" s="370" t="s">
        <v>1317</v>
      </c>
      <c r="G870" s="365" t="s">
        <v>1210</v>
      </c>
      <c r="H870" s="369"/>
      <c r="I870" s="371">
        <v>30</v>
      </c>
      <c r="J870" s="360">
        <v>0.03</v>
      </c>
      <c r="K870" s="361"/>
      <c r="L870" s="368" t="s">
        <v>3274</v>
      </c>
    </row>
    <row r="871" spans="1:12" ht="15">
      <c r="A871" s="102"/>
      <c r="B871" s="354"/>
      <c r="C871" s="17"/>
      <c r="D871" s="364" t="s">
        <v>3276</v>
      </c>
      <c r="E871" s="370" t="s">
        <v>1302</v>
      </c>
      <c r="F871" s="370"/>
      <c r="G871" s="365"/>
      <c r="H871" s="369"/>
      <c r="I871" s="371">
        <v>1</v>
      </c>
      <c r="J871" s="360">
        <v>0.67</v>
      </c>
      <c r="K871" s="361"/>
      <c r="L871" s="368" t="s">
        <v>3275</v>
      </c>
    </row>
    <row r="872" spans="1:12" ht="15">
      <c r="A872" s="102"/>
      <c r="B872" s="354"/>
      <c r="C872" s="17"/>
      <c r="D872" s="364"/>
      <c r="E872" s="370"/>
      <c r="F872" s="370" t="s">
        <v>1317</v>
      </c>
      <c r="G872" s="365" t="s">
        <v>1199</v>
      </c>
      <c r="H872" s="369" t="s">
        <v>3279</v>
      </c>
      <c r="I872" s="371">
        <v>1</v>
      </c>
      <c r="J872" s="360">
        <v>0.67</v>
      </c>
      <c r="K872" s="361"/>
      <c r="L872" s="368" t="s">
        <v>3277</v>
      </c>
    </row>
    <row r="873" spans="1:12" ht="15.75">
      <c r="A873" s="102"/>
      <c r="B873" s="105"/>
      <c r="C873" s="105"/>
      <c r="D873" s="321"/>
      <c r="E873" s="396"/>
      <c r="F873" s="105"/>
      <c r="G873" s="321"/>
      <c r="H873" s="104"/>
      <c r="I873" s="417"/>
      <c r="J873" s="108"/>
      <c r="K873" s="133"/>
      <c r="L873" s="321"/>
    </row>
    <row r="874" spans="1:12">
      <c r="A874" s="353"/>
      <c r="B874" s="354" t="s">
        <v>13</v>
      </c>
      <c r="C874" s="355" t="s">
        <v>77</v>
      </c>
      <c r="D874" s="355"/>
      <c r="E874" s="402"/>
      <c r="F874" s="356"/>
      <c r="G874" s="354"/>
      <c r="H874" s="355"/>
      <c r="I874" s="421">
        <v>1</v>
      </c>
      <c r="J874" s="357">
        <v>43.03</v>
      </c>
      <c r="K874" s="358"/>
      <c r="L874" s="363" t="s">
        <v>2438</v>
      </c>
    </row>
    <row r="875" spans="1:12">
      <c r="A875" s="353"/>
      <c r="B875" s="354"/>
      <c r="C875" s="17"/>
      <c r="D875" s="17" t="s">
        <v>2923</v>
      </c>
      <c r="E875" s="370" t="s">
        <v>1302</v>
      </c>
      <c r="F875" s="359"/>
      <c r="G875" s="353"/>
      <c r="H875" s="17" t="s">
        <v>2452</v>
      </c>
      <c r="I875" s="371">
        <v>3</v>
      </c>
      <c r="J875" s="360">
        <v>43.03</v>
      </c>
      <c r="K875" s="361" t="s">
        <v>3672</v>
      </c>
      <c r="L875" s="368" t="s">
        <v>2439</v>
      </c>
    </row>
    <row r="876" spans="1:12" ht="15.75">
      <c r="A876" s="102"/>
      <c r="B876" s="105"/>
      <c r="C876" s="105"/>
      <c r="D876" s="321"/>
      <c r="E876" s="396"/>
      <c r="F876" s="105"/>
      <c r="G876" s="321"/>
      <c r="H876" s="104"/>
      <c r="I876" s="417"/>
      <c r="J876" s="108"/>
      <c r="K876" s="133"/>
      <c r="L876" s="321"/>
    </row>
    <row r="877" spans="1:12">
      <c r="A877" s="353"/>
      <c r="B877" s="354" t="s">
        <v>13</v>
      </c>
      <c r="C877" s="355" t="s">
        <v>78</v>
      </c>
      <c r="D877" s="355"/>
      <c r="E877" s="402"/>
      <c r="F877" s="356"/>
      <c r="G877" s="354"/>
      <c r="H877" s="355"/>
      <c r="I877" s="421">
        <v>1</v>
      </c>
      <c r="J877" s="357" t="s">
        <v>3910</v>
      </c>
      <c r="K877" s="358"/>
      <c r="L877" s="363" t="s">
        <v>2440</v>
      </c>
    </row>
    <row r="878" spans="1:12">
      <c r="A878" s="353"/>
      <c r="B878" s="354"/>
      <c r="C878" s="17"/>
      <c r="D878" s="17" t="s">
        <v>2417</v>
      </c>
      <c r="E878" s="370" t="s">
        <v>1302</v>
      </c>
      <c r="F878" s="359"/>
      <c r="G878" s="353"/>
      <c r="H878" s="17"/>
      <c r="I878" s="371">
        <v>3</v>
      </c>
      <c r="J878" s="360">
        <v>382.81</v>
      </c>
      <c r="K878" s="361"/>
      <c r="L878" s="368" t="s">
        <v>2441</v>
      </c>
    </row>
    <row r="879" spans="1:12">
      <c r="A879" s="353"/>
      <c r="B879" s="354"/>
      <c r="C879" s="17"/>
      <c r="D879" s="17"/>
      <c r="E879" s="370"/>
      <c r="F879" s="359" t="s">
        <v>1305</v>
      </c>
      <c r="G879" s="353" t="s">
        <v>1010</v>
      </c>
      <c r="H879" s="17"/>
      <c r="I879" s="371">
        <v>1</v>
      </c>
      <c r="J879" s="360">
        <v>61.44</v>
      </c>
      <c r="K879" s="361" t="s">
        <v>3911</v>
      </c>
      <c r="L879" s="368" t="s">
        <v>2442</v>
      </c>
    </row>
    <row r="880" spans="1:12">
      <c r="A880" s="353"/>
      <c r="B880" s="354"/>
      <c r="C880" s="17"/>
      <c r="D880" s="17"/>
      <c r="E880" s="370"/>
      <c r="F880" s="359" t="s">
        <v>1317</v>
      </c>
      <c r="G880" s="353" t="s">
        <v>1157</v>
      </c>
      <c r="H880" s="17" t="s">
        <v>2443</v>
      </c>
      <c r="I880" s="371">
        <v>1</v>
      </c>
      <c r="J880" s="360">
        <v>321.37</v>
      </c>
      <c r="K880" s="361" t="s">
        <v>3912</v>
      </c>
      <c r="L880" s="368" t="s">
        <v>2444</v>
      </c>
    </row>
    <row r="881" spans="1:12">
      <c r="A881" s="353"/>
      <c r="B881" s="354"/>
      <c r="C881" s="17"/>
      <c r="D881" s="17"/>
      <c r="E881" s="370"/>
      <c r="F881" s="359" t="s">
        <v>1317</v>
      </c>
      <c r="G881" s="353" t="s">
        <v>1211</v>
      </c>
      <c r="H881" s="17"/>
      <c r="I881" s="371">
        <v>1</v>
      </c>
      <c r="J881" s="360"/>
      <c r="K881" s="361"/>
      <c r="L881" s="368" t="s">
        <v>2445</v>
      </c>
    </row>
    <row r="882" spans="1:12">
      <c r="A882" s="353"/>
      <c r="B882" s="354"/>
      <c r="C882" s="17"/>
      <c r="D882" s="17"/>
      <c r="E882" s="370"/>
      <c r="F882" s="359" t="s">
        <v>1317</v>
      </c>
      <c r="G882" s="353" t="s">
        <v>2446</v>
      </c>
      <c r="H882" s="17" t="s">
        <v>2447</v>
      </c>
      <c r="I882" s="371">
        <v>1</v>
      </c>
      <c r="J882" s="360"/>
      <c r="K882" s="361"/>
      <c r="L882" s="368" t="s">
        <v>2448</v>
      </c>
    </row>
    <row r="883" spans="1:12">
      <c r="A883" s="353"/>
      <c r="B883" s="354"/>
      <c r="C883" s="17"/>
      <c r="D883" s="17"/>
      <c r="E883" s="370"/>
      <c r="F883" s="359" t="s">
        <v>2117</v>
      </c>
      <c r="G883" s="353" t="s">
        <v>2972</v>
      </c>
      <c r="H883" s="17"/>
      <c r="I883" s="371">
        <v>1</v>
      </c>
      <c r="J883" s="360"/>
      <c r="K883" s="361"/>
      <c r="L883" s="368" t="s">
        <v>2974</v>
      </c>
    </row>
    <row r="884" spans="1:12" ht="29.25">
      <c r="A884" s="102"/>
      <c r="B884" s="354"/>
      <c r="C884" s="17"/>
      <c r="D884" s="364" t="s">
        <v>3423</v>
      </c>
      <c r="E884" s="370" t="s">
        <v>1302</v>
      </c>
      <c r="F884" s="359"/>
      <c r="G884" s="353"/>
      <c r="H884" s="17" t="s">
        <v>3913</v>
      </c>
      <c r="I884" s="371">
        <v>1</v>
      </c>
      <c r="J884" s="360">
        <v>180.27</v>
      </c>
      <c r="K884" s="361"/>
      <c r="L884" s="368" t="s">
        <v>2449</v>
      </c>
    </row>
    <row r="885" spans="1:12" ht="15">
      <c r="A885" s="102"/>
      <c r="B885" s="354"/>
      <c r="C885" s="17"/>
      <c r="D885" s="17"/>
      <c r="E885" s="370"/>
      <c r="F885" s="359" t="s">
        <v>1317</v>
      </c>
      <c r="G885" s="353" t="s">
        <v>2450</v>
      </c>
      <c r="H885" s="17" t="s">
        <v>2452</v>
      </c>
      <c r="I885" s="371">
        <v>1</v>
      </c>
      <c r="J885" s="360">
        <v>2.4300000000000002</v>
      </c>
      <c r="K885" s="361" t="s">
        <v>3914</v>
      </c>
      <c r="L885" s="368" t="s">
        <v>2451</v>
      </c>
    </row>
    <row r="886" spans="1:12" ht="15">
      <c r="A886" s="102"/>
      <c r="B886" s="354"/>
      <c r="C886" s="17"/>
      <c r="D886" s="17"/>
      <c r="E886" s="370"/>
      <c r="F886" s="359" t="s">
        <v>1317</v>
      </c>
      <c r="G886" s="353" t="s">
        <v>1218</v>
      </c>
      <c r="H886" s="17"/>
      <c r="I886" s="371">
        <v>1</v>
      </c>
      <c r="J886" s="360">
        <v>6.07</v>
      </c>
      <c r="K886" s="361" t="s">
        <v>3914</v>
      </c>
      <c r="L886" s="368" t="s">
        <v>2453</v>
      </c>
    </row>
    <row r="887" spans="1:12" ht="15">
      <c r="A887" s="102"/>
      <c r="B887" s="354"/>
      <c r="C887" s="17"/>
      <c r="D887" s="17"/>
      <c r="E887" s="370"/>
      <c r="F887" s="359" t="s">
        <v>1317</v>
      </c>
      <c r="G887" s="353" t="s">
        <v>2450</v>
      </c>
      <c r="H887" s="17" t="s">
        <v>2452</v>
      </c>
      <c r="I887" s="371">
        <v>1</v>
      </c>
      <c r="J887" s="360">
        <v>2.4300000000000002</v>
      </c>
      <c r="K887" s="361" t="s">
        <v>3914</v>
      </c>
      <c r="L887" s="368" t="s">
        <v>2454</v>
      </c>
    </row>
    <row r="888" spans="1:12" ht="15">
      <c r="A888" s="102"/>
      <c r="B888" s="354"/>
      <c r="C888" s="17"/>
      <c r="D888" s="17"/>
      <c r="E888" s="370"/>
      <c r="F888" s="359" t="s">
        <v>1317</v>
      </c>
      <c r="G888" s="353" t="s">
        <v>1218</v>
      </c>
      <c r="H888" s="17"/>
      <c r="I888" s="371">
        <v>1</v>
      </c>
      <c r="J888" s="360">
        <v>6.07</v>
      </c>
      <c r="K888" s="361" t="s">
        <v>3914</v>
      </c>
      <c r="L888" s="368" t="s">
        <v>2455</v>
      </c>
    </row>
    <row r="889" spans="1:12" ht="15">
      <c r="A889" s="102"/>
      <c r="B889" s="354"/>
      <c r="C889" s="17"/>
      <c r="D889" s="17"/>
      <c r="E889" s="370"/>
      <c r="F889" s="359" t="s">
        <v>1317</v>
      </c>
      <c r="G889" s="353" t="s">
        <v>2450</v>
      </c>
      <c r="H889" s="17" t="s">
        <v>2452</v>
      </c>
      <c r="I889" s="371">
        <v>1</v>
      </c>
      <c r="J889" s="360">
        <v>2.4300000000000002</v>
      </c>
      <c r="K889" s="361" t="s">
        <v>3914</v>
      </c>
      <c r="L889" s="368" t="s">
        <v>2456</v>
      </c>
    </row>
    <row r="890" spans="1:12" ht="15">
      <c r="A890" s="102"/>
      <c r="B890" s="354"/>
      <c r="C890" s="17"/>
      <c r="D890" s="17"/>
      <c r="E890" s="370"/>
      <c r="F890" s="359" t="s">
        <v>1317</v>
      </c>
      <c r="G890" s="353" t="s">
        <v>1218</v>
      </c>
      <c r="H890" s="17"/>
      <c r="I890" s="371">
        <v>1</v>
      </c>
      <c r="J890" s="360">
        <v>6.07</v>
      </c>
      <c r="K890" s="361" t="s">
        <v>3914</v>
      </c>
      <c r="L890" s="368" t="s">
        <v>2457</v>
      </c>
    </row>
    <row r="891" spans="1:12" ht="15">
      <c r="A891" s="102"/>
      <c r="B891" s="354"/>
      <c r="C891" s="17"/>
      <c r="D891" s="17"/>
      <c r="E891" s="370"/>
      <c r="F891" s="359" t="s">
        <v>1317</v>
      </c>
      <c r="G891" s="353" t="s">
        <v>1206</v>
      </c>
      <c r="H891" s="17"/>
      <c r="I891" s="371">
        <v>1</v>
      </c>
      <c r="J891" s="360">
        <v>44.88</v>
      </c>
      <c r="K891" s="361" t="s">
        <v>3761</v>
      </c>
      <c r="L891" s="368" t="s">
        <v>2458</v>
      </c>
    </row>
    <row r="892" spans="1:12" ht="15">
      <c r="A892" s="102"/>
      <c r="B892" s="354"/>
      <c r="C892" s="17"/>
      <c r="D892" s="17"/>
      <c r="E892" s="370"/>
      <c r="F892" s="359" t="s">
        <v>1317</v>
      </c>
      <c r="G892" s="353" t="s">
        <v>2459</v>
      </c>
      <c r="H892" s="17" t="s">
        <v>2460</v>
      </c>
      <c r="I892" s="371">
        <v>1</v>
      </c>
      <c r="J892" s="360">
        <v>8.24</v>
      </c>
      <c r="K892" s="361" t="s">
        <v>3915</v>
      </c>
      <c r="L892" s="368" t="s">
        <v>2461</v>
      </c>
    </row>
    <row r="893" spans="1:12" ht="15">
      <c r="A893" s="102"/>
      <c r="B893" s="354"/>
      <c r="C893" s="17"/>
      <c r="D893" s="17"/>
      <c r="E893" s="370"/>
      <c r="F893" s="359" t="s">
        <v>1317</v>
      </c>
      <c r="G893" s="353" t="s">
        <v>1211</v>
      </c>
      <c r="H893" s="17"/>
      <c r="I893" s="371">
        <v>1</v>
      </c>
      <c r="J893" s="360">
        <v>1.83</v>
      </c>
      <c r="K893" s="361" t="s">
        <v>3915</v>
      </c>
      <c r="L893" s="368" t="s">
        <v>2462</v>
      </c>
    </row>
    <row r="894" spans="1:12" ht="15">
      <c r="A894" s="102"/>
      <c r="B894" s="354"/>
      <c r="C894" s="17"/>
      <c r="D894" s="17"/>
      <c r="E894" s="370"/>
      <c r="F894" s="359" t="s">
        <v>1317</v>
      </c>
      <c r="G894" s="353" t="s">
        <v>1025</v>
      </c>
      <c r="H894" s="17"/>
      <c r="I894" s="371">
        <v>1</v>
      </c>
      <c r="J894" s="360">
        <v>84.18</v>
      </c>
      <c r="K894" s="361" t="s">
        <v>3914</v>
      </c>
      <c r="L894" s="368" t="s">
        <v>2479</v>
      </c>
    </row>
    <row r="895" spans="1:12" ht="29.25">
      <c r="A895" s="102"/>
      <c r="B895" s="354"/>
      <c r="C895" s="17"/>
      <c r="D895" s="17"/>
      <c r="E895" s="370"/>
      <c r="F895" s="370" t="s">
        <v>1317</v>
      </c>
      <c r="G895" s="389" t="s">
        <v>2744</v>
      </c>
      <c r="H895" s="368" t="s">
        <v>2742</v>
      </c>
      <c r="I895" s="371">
        <v>1</v>
      </c>
      <c r="J895" s="360">
        <v>2.4300000000000002</v>
      </c>
      <c r="K895" s="361" t="s">
        <v>3914</v>
      </c>
      <c r="L895" s="368" t="s">
        <v>2743</v>
      </c>
    </row>
    <row r="896" spans="1:12" ht="29.25">
      <c r="A896" s="102"/>
      <c r="B896" s="354"/>
      <c r="C896" s="17"/>
      <c r="D896" s="17"/>
      <c r="E896" s="370"/>
      <c r="F896" s="370" t="s">
        <v>1317</v>
      </c>
      <c r="G896" s="389" t="s">
        <v>2744</v>
      </c>
      <c r="H896" s="368" t="s">
        <v>2746</v>
      </c>
      <c r="I896" s="371">
        <v>1</v>
      </c>
      <c r="J896" s="360">
        <v>2.4300000000000002</v>
      </c>
      <c r="K896" s="361" t="s">
        <v>3914</v>
      </c>
      <c r="L896" s="368" t="s">
        <v>2745</v>
      </c>
    </row>
    <row r="897" spans="1:12" ht="15">
      <c r="A897" s="102"/>
      <c r="B897" s="354"/>
      <c r="C897" s="17"/>
      <c r="D897" s="17"/>
      <c r="E897" s="370"/>
      <c r="F897" s="370" t="s">
        <v>1305</v>
      </c>
      <c r="G897" s="389" t="s">
        <v>2746</v>
      </c>
      <c r="H897" s="368"/>
      <c r="I897" s="371">
        <v>1</v>
      </c>
      <c r="J897" s="360">
        <v>8.02</v>
      </c>
      <c r="K897" s="361" t="s">
        <v>3914</v>
      </c>
      <c r="L897" s="368" t="s">
        <v>3457</v>
      </c>
    </row>
    <row r="898" spans="1:12" ht="15">
      <c r="A898" s="102"/>
      <c r="B898" s="354"/>
      <c r="C898" s="17"/>
      <c r="D898" s="17"/>
      <c r="E898" s="370"/>
      <c r="F898" s="370" t="s">
        <v>1305</v>
      </c>
      <c r="G898" s="389" t="s">
        <v>2742</v>
      </c>
      <c r="H898" s="368"/>
      <c r="I898" s="371">
        <v>1</v>
      </c>
      <c r="J898" s="360">
        <v>2.76</v>
      </c>
      <c r="K898" s="361" t="s">
        <v>3914</v>
      </c>
      <c r="L898" s="368" t="s">
        <v>3458</v>
      </c>
    </row>
    <row r="899" spans="1:12" ht="15">
      <c r="A899" s="102"/>
      <c r="B899" s="354"/>
      <c r="C899" s="17"/>
      <c r="D899" s="386" t="s">
        <v>2463</v>
      </c>
      <c r="E899" s="370" t="s">
        <v>1302</v>
      </c>
      <c r="F899" s="359"/>
      <c r="G899" s="353"/>
      <c r="H899" s="17"/>
      <c r="I899" s="371">
        <v>1</v>
      </c>
      <c r="J899" s="360">
        <v>139.41999999999999</v>
      </c>
      <c r="K899" s="361"/>
      <c r="L899" s="368" t="s">
        <v>2464</v>
      </c>
    </row>
    <row r="900" spans="1:12" ht="15">
      <c r="A900" s="102"/>
      <c r="B900" s="354"/>
      <c r="C900" s="17"/>
      <c r="D900" s="386"/>
      <c r="E900" s="370"/>
      <c r="F900" s="359" t="s">
        <v>1317</v>
      </c>
      <c r="G900" s="353" t="s">
        <v>2450</v>
      </c>
      <c r="H900" s="17" t="s">
        <v>2452</v>
      </c>
      <c r="I900" s="371">
        <v>1</v>
      </c>
      <c r="J900" s="360">
        <v>4.1100000000000003</v>
      </c>
      <c r="K900" s="361" t="s">
        <v>3916</v>
      </c>
      <c r="L900" s="368" t="s">
        <v>2465</v>
      </c>
    </row>
    <row r="901" spans="1:12" ht="15">
      <c r="A901" s="102"/>
      <c r="B901" s="354"/>
      <c r="C901" s="17"/>
      <c r="D901" s="386"/>
      <c r="E901" s="370"/>
      <c r="F901" s="359" t="s">
        <v>1317</v>
      </c>
      <c r="G901" s="353" t="s">
        <v>1218</v>
      </c>
      <c r="H901" s="17"/>
      <c r="I901" s="371">
        <v>1</v>
      </c>
      <c r="J901" s="360">
        <v>10.27</v>
      </c>
      <c r="K901" s="361" t="s">
        <v>3916</v>
      </c>
      <c r="L901" s="368" t="s">
        <v>2466</v>
      </c>
    </row>
    <row r="902" spans="1:12" ht="15">
      <c r="A902" s="102"/>
      <c r="B902" s="354"/>
      <c r="C902" s="17"/>
      <c r="D902" s="386"/>
      <c r="E902" s="370"/>
      <c r="F902" s="359" t="s">
        <v>1317</v>
      </c>
      <c r="G902" s="353" t="s">
        <v>2450</v>
      </c>
      <c r="H902" s="17" t="s">
        <v>2452</v>
      </c>
      <c r="I902" s="371">
        <v>1</v>
      </c>
      <c r="J902" s="360">
        <v>4.1100000000000003</v>
      </c>
      <c r="K902" s="361" t="s">
        <v>3916</v>
      </c>
      <c r="L902" s="368" t="s">
        <v>2467</v>
      </c>
    </row>
    <row r="903" spans="1:12" ht="15">
      <c r="A903" s="102"/>
      <c r="B903" s="354"/>
      <c r="C903" s="17"/>
      <c r="D903" s="386"/>
      <c r="E903" s="370"/>
      <c r="F903" s="359" t="s">
        <v>1317</v>
      </c>
      <c r="G903" s="353" t="s">
        <v>1218</v>
      </c>
      <c r="H903" s="17"/>
      <c r="I903" s="371">
        <v>1</v>
      </c>
      <c r="J903" s="360">
        <v>10.27</v>
      </c>
      <c r="K903" s="361" t="s">
        <v>3916</v>
      </c>
      <c r="L903" s="368" t="s">
        <v>2468</v>
      </c>
    </row>
    <row r="904" spans="1:12" ht="15">
      <c r="A904" s="102"/>
      <c r="B904" s="354"/>
      <c r="C904" s="17"/>
      <c r="D904" s="386"/>
      <c r="E904" s="370"/>
      <c r="F904" s="359" t="s">
        <v>1317</v>
      </c>
      <c r="G904" s="353" t="s">
        <v>2450</v>
      </c>
      <c r="H904" s="17" t="s">
        <v>2452</v>
      </c>
      <c r="I904" s="371">
        <v>1</v>
      </c>
      <c r="J904" s="360">
        <v>4.1100000000000003</v>
      </c>
      <c r="K904" s="361" t="s">
        <v>3916</v>
      </c>
      <c r="L904" s="368" t="s">
        <v>2469</v>
      </c>
    </row>
    <row r="905" spans="1:12" ht="15">
      <c r="A905" s="102"/>
      <c r="B905" s="354"/>
      <c r="C905" s="17"/>
      <c r="D905" s="386"/>
      <c r="E905" s="370"/>
      <c r="F905" s="359" t="s">
        <v>1317</v>
      </c>
      <c r="G905" s="353" t="s">
        <v>1218</v>
      </c>
      <c r="H905" s="17"/>
      <c r="I905" s="371">
        <v>1</v>
      </c>
      <c r="J905" s="360">
        <v>10.27</v>
      </c>
      <c r="K905" s="361" t="s">
        <v>3916</v>
      </c>
      <c r="L905" s="368" t="s">
        <v>2470</v>
      </c>
    </row>
    <row r="906" spans="1:12" ht="15">
      <c r="A906" s="102"/>
      <c r="B906" s="354"/>
      <c r="C906" s="17"/>
      <c r="D906" s="386"/>
      <c r="E906" s="370"/>
      <c r="F906" s="359" t="s">
        <v>1317</v>
      </c>
      <c r="G906" s="353" t="s">
        <v>1206</v>
      </c>
      <c r="H906" s="17"/>
      <c r="I906" s="371">
        <v>1</v>
      </c>
      <c r="J906" s="360">
        <v>44.88</v>
      </c>
      <c r="K906" s="361" t="s">
        <v>3761</v>
      </c>
      <c r="L906" s="368" t="s">
        <v>2471</v>
      </c>
    </row>
    <row r="907" spans="1:12" ht="29.25">
      <c r="A907" s="102"/>
      <c r="B907" s="354"/>
      <c r="C907" s="17"/>
      <c r="D907" s="386"/>
      <c r="E907" s="370"/>
      <c r="F907" s="359" t="s">
        <v>1317</v>
      </c>
      <c r="G907" s="353" t="s">
        <v>1157</v>
      </c>
      <c r="H907" s="364" t="s">
        <v>2993</v>
      </c>
      <c r="I907" s="371">
        <v>1</v>
      </c>
      <c r="J907" s="360">
        <v>8.18</v>
      </c>
      <c r="K907" s="361" t="s">
        <v>3917</v>
      </c>
      <c r="L907" s="368" t="s">
        <v>2472</v>
      </c>
    </row>
    <row r="908" spans="1:12" ht="15">
      <c r="A908" s="102"/>
      <c r="B908" s="354"/>
      <c r="C908" s="17"/>
      <c r="D908" s="386"/>
      <c r="E908" s="370"/>
      <c r="F908" s="359" t="s">
        <v>1317</v>
      </c>
      <c r="G908" s="353" t="s">
        <v>1211</v>
      </c>
      <c r="H908" s="17"/>
      <c r="I908" s="371">
        <v>1</v>
      </c>
      <c r="J908" s="360">
        <v>16.82</v>
      </c>
      <c r="K908" s="361" t="s">
        <v>3918</v>
      </c>
      <c r="L908" s="368" t="s">
        <v>2473</v>
      </c>
    </row>
    <row r="909" spans="1:12" ht="28.5">
      <c r="A909" s="102"/>
      <c r="B909" s="354"/>
      <c r="C909" s="17"/>
      <c r="D909" s="386"/>
      <c r="E909" s="370"/>
      <c r="F909" s="370" t="s">
        <v>1317</v>
      </c>
      <c r="G909" s="390" t="s">
        <v>2744</v>
      </c>
      <c r="H909" s="368" t="s">
        <v>2746</v>
      </c>
      <c r="I909" s="371">
        <v>1</v>
      </c>
      <c r="J909" s="360">
        <v>4.1100000000000003</v>
      </c>
      <c r="K909" s="361" t="s">
        <v>3916</v>
      </c>
      <c r="L909" s="368" t="s">
        <v>2747</v>
      </c>
    </row>
    <row r="910" spans="1:12" ht="15">
      <c r="A910" s="102"/>
      <c r="B910" s="354"/>
      <c r="C910" s="17"/>
      <c r="D910" s="386"/>
      <c r="E910" s="370"/>
      <c r="F910" s="370" t="s">
        <v>1317</v>
      </c>
      <c r="G910" s="390" t="s">
        <v>3919</v>
      </c>
      <c r="H910" s="368" t="s">
        <v>2742</v>
      </c>
      <c r="I910" s="371">
        <v>1</v>
      </c>
      <c r="J910" s="360">
        <v>4.1100000000000003</v>
      </c>
      <c r="K910" s="361" t="s">
        <v>3916</v>
      </c>
      <c r="L910" s="368" t="s">
        <v>2748</v>
      </c>
    </row>
    <row r="911" spans="1:12" ht="15">
      <c r="A911" s="102"/>
      <c r="B911" s="354"/>
      <c r="C911" s="17"/>
      <c r="D911" s="386"/>
      <c r="E911" s="370"/>
      <c r="F911" s="370" t="s">
        <v>1317</v>
      </c>
      <c r="G911" s="390" t="s">
        <v>1214</v>
      </c>
      <c r="H911" s="368" t="s">
        <v>2452</v>
      </c>
      <c r="I911" s="371">
        <v>1</v>
      </c>
      <c r="J911" s="360">
        <v>4.1100000000000003</v>
      </c>
      <c r="K911" s="361" t="s">
        <v>3916</v>
      </c>
      <c r="L911" s="368" t="s">
        <v>2994</v>
      </c>
    </row>
    <row r="912" spans="1:12" ht="15">
      <c r="A912" s="102"/>
      <c r="B912" s="354"/>
      <c r="C912" s="17"/>
      <c r="D912" s="386"/>
      <c r="E912" s="370"/>
      <c r="F912" s="370" t="s">
        <v>1305</v>
      </c>
      <c r="G912" s="390" t="s">
        <v>2746</v>
      </c>
      <c r="H912" s="368"/>
      <c r="I912" s="371">
        <v>1</v>
      </c>
      <c r="J912" s="360">
        <v>13.5</v>
      </c>
      <c r="K912" s="361" t="s">
        <v>3916</v>
      </c>
      <c r="L912" s="368" t="s">
        <v>3459</v>
      </c>
    </row>
    <row r="913" spans="1:12" ht="15">
      <c r="A913" s="102"/>
      <c r="B913" s="354"/>
      <c r="C913" s="17"/>
      <c r="D913" s="386"/>
      <c r="E913" s="370"/>
      <c r="F913" s="370" t="s">
        <v>1305</v>
      </c>
      <c r="G913" s="390" t="s">
        <v>2742</v>
      </c>
      <c r="H913" s="368"/>
      <c r="I913" s="371">
        <v>1</v>
      </c>
      <c r="J913" s="360">
        <v>4.68</v>
      </c>
      <c r="K913" s="361" t="s">
        <v>3916</v>
      </c>
      <c r="L913" s="368" t="s">
        <v>3460</v>
      </c>
    </row>
    <row r="914" spans="1:12" ht="15.75">
      <c r="A914" s="102"/>
      <c r="B914" s="105"/>
      <c r="C914" s="105"/>
      <c r="D914" s="321"/>
      <c r="E914" s="396"/>
      <c r="F914" s="105"/>
      <c r="G914" s="321"/>
      <c r="H914" s="104"/>
      <c r="I914" s="417"/>
      <c r="J914" s="108"/>
      <c r="K914" s="133"/>
      <c r="L914" s="321"/>
    </row>
    <row r="915" spans="1:12">
      <c r="A915" s="353"/>
      <c r="B915" s="354" t="s">
        <v>13</v>
      </c>
      <c r="C915" s="355" t="s">
        <v>3152</v>
      </c>
      <c r="D915" s="355"/>
      <c r="E915" s="402"/>
      <c r="F915" s="402"/>
      <c r="G915" s="366"/>
      <c r="H915" s="363"/>
      <c r="I915" s="421">
        <v>1</v>
      </c>
      <c r="J915" s="357">
        <v>219.69</v>
      </c>
      <c r="K915" s="358"/>
      <c r="L915" s="363" t="s">
        <v>3097</v>
      </c>
    </row>
    <row r="916" spans="1:12" ht="28.5">
      <c r="A916" s="368"/>
      <c r="B916" s="354"/>
      <c r="C916" s="17"/>
      <c r="D916" s="364" t="s">
        <v>3109</v>
      </c>
      <c r="E916" s="370" t="s">
        <v>1302</v>
      </c>
      <c r="F916" s="370"/>
      <c r="G916" s="365"/>
      <c r="H916" s="368" t="s">
        <v>3284</v>
      </c>
      <c r="I916" s="371">
        <v>5</v>
      </c>
      <c r="J916" s="360">
        <v>4.67</v>
      </c>
      <c r="K916" s="361"/>
      <c r="L916" s="368" t="s">
        <v>3098</v>
      </c>
    </row>
    <row r="917" spans="1:12">
      <c r="A917" s="368"/>
      <c r="B917" s="354"/>
      <c r="C917" s="17"/>
      <c r="D917" s="364"/>
      <c r="E917" s="370"/>
      <c r="F917" s="370" t="s">
        <v>1305</v>
      </c>
      <c r="G917" s="365" t="s">
        <v>1007</v>
      </c>
      <c r="H917" s="368"/>
      <c r="I917" s="371">
        <v>1</v>
      </c>
      <c r="J917" s="360">
        <v>7.0000000000000007E-2</v>
      </c>
      <c r="K917" s="361" t="s">
        <v>3920</v>
      </c>
      <c r="L917" s="368" t="s">
        <v>3099</v>
      </c>
    </row>
    <row r="918" spans="1:12">
      <c r="A918" s="368"/>
      <c r="B918" s="354"/>
      <c r="C918" s="17"/>
      <c r="D918" s="364"/>
      <c r="E918" s="370"/>
      <c r="F918" s="370" t="s">
        <v>1317</v>
      </c>
      <c r="G918" s="365" t="s">
        <v>1156</v>
      </c>
      <c r="H918" s="368"/>
      <c r="I918" s="371">
        <v>1</v>
      </c>
      <c r="J918" s="360">
        <v>0.21</v>
      </c>
      <c r="K918" s="361" t="s">
        <v>3921</v>
      </c>
      <c r="L918" s="368" t="s">
        <v>3100</v>
      </c>
    </row>
    <row r="919" spans="1:12">
      <c r="A919" s="368"/>
      <c r="B919" s="354"/>
      <c r="C919" s="17"/>
      <c r="D919" s="364"/>
      <c r="E919" s="370"/>
      <c r="F919" s="370" t="s">
        <v>1317</v>
      </c>
      <c r="G919" s="365" t="s">
        <v>1711</v>
      </c>
      <c r="H919" s="368"/>
      <c r="I919" s="371">
        <v>1</v>
      </c>
      <c r="J919" s="360">
        <v>0.56000000000000005</v>
      </c>
      <c r="K919" s="361"/>
      <c r="L919" s="368" t="s">
        <v>3101</v>
      </c>
    </row>
    <row r="920" spans="1:12" ht="28.5">
      <c r="A920" s="368"/>
      <c r="B920" s="354"/>
      <c r="C920" s="17"/>
      <c r="D920" s="364"/>
      <c r="E920" s="370"/>
      <c r="F920" s="370" t="s">
        <v>1317</v>
      </c>
      <c r="G920" s="365" t="s">
        <v>1561</v>
      </c>
      <c r="H920" s="369" t="s">
        <v>3283</v>
      </c>
      <c r="I920" s="371">
        <v>1</v>
      </c>
      <c r="J920" s="360">
        <v>0.04</v>
      </c>
      <c r="K920" s="361" t="s">
        <v>3922</v>
      </c>
      <c r="L920" s="368" t="s">
        <v>3102</v>
      </c>
    </row>
    <row r="921" spans="1:12">
      <c r="A921" s="368"/>
      <c r="B921" s="354"/>
      <c r="C921" s="17"/>
      <c r="D921" s="364"/>
      <c r="E921" s="370"/>
      <c r="F921" s="370" t="s">
        <v>1317</v>
      </c>
      <c r="G921" s="365" t="s">
        <v>1572</v>
      </c>
      <c r="H921" s="368" t="s">
        <v>3923</v>
      </c>
      <c r="I921" s="371">
        <v>1</v>
      </c>
      <c r="J921" s="360">
        <v>0.13</v>
      </c>
      <c r="K921" s="361" t="s">
        <v>3924</v>
      </c>
      <c r="L921" s="368" t="s">
        <v>3103</v>
      </c>
    </row>
    <row r="922" spans="1:12" ht="28.5">
      <c r="A922" s="368"/>
      <c r="B922" s="354"/>
      <c r="C922" s="17"/>
      <c r="D922" s="364"/>
      <c r="E922" s="370"/>
      <c r="F922" s="370" t="s">
        <v>1317</v>
      </c>
      <c r="G922" s="365" t="s">
        <v>1539</v>
      </c>
      <c r="H922" s="369" t="s">
        <v>3105</v>
      </c>
      <c r="I922" s="371">
        <v>1</v>
      </c>
      <c r="J922" s="360">
        <v>2.81</v>
      </c>
      <c r="K922" s="361" t="s">
        <v>3925</v>
      </c>
      <c r="L922" s="368" t="s">
        <v>3104</v>
      </c>
    </row>
    <row r="923" spans="1:12">
      <c r="A923" s="368"/>
      <c r="B923" s="354"/>
      <c r="C923" s="17"/>
      <c r="D923" s="364"/>
      <c r="E923" s="370"/>
      <c r="F923" s="370" t="s">
        <v>1317</v>
      </c>
      <c r="G923" s="365" t="s">
        <v>1199</v>
      </c>
      <c r="H923" s="369" t="s">
        <v>3282</v>
      </c>
      <c r="I923" s="371">
        <v>1</v>
      </c>
      <c r="J923" s="360">
        <v>0.37</v>
      </c>
      <c r="K923" s="361"/>
      <c r="L923" s="368" t="s">
        <v>3108</v>
      </c>
    </row>
    <row r="924" spans="1:12" ht="42.75">
      <c r="A924" s="368"/>
      <c r="B924" s="354"/>
      <c r="C924" s="17"/>
      <c r="D924" s="364"/>
      <c r="E924" s="370"/>
      <c r="F924" s="370" t="s">
        <v>1317</v>
      </c>
      <c r="G924" s="365" t="s">
        <v>1572</v>
      </c>
      <c r="H924" s="369" t="s">
        <v>3285</v>
      </c>
      <c r="I924" s="371">
        <v>1</v>
      </c>
      <c r="J924" s="360">
        <v>0.13</v>
      </c>
      <c r="K924" s="361" t="s">
        <v>3924</v>
      </c>
      <c r="L924" s="368" t="s">
        <v>3127</v>
      </c>
    </row>
    <row r="925" spans="1:12">
      <c r="A925" s="368"/>
      <c r="B925" s="354"/>
      <c r="C925" s="17"/>
      <c r="D925" s="364"/>
      <c r="E925" s="370"/>
      <c r="F925" s="370" t="s">
        <v>1317</v>
      </c>
      <c r="G925" s="365" t="s">
        <v>1199</v>
      </c>
      <c r="H925" s="369" t="s">
        <v>3281</v>
      </c>
      <c r="I925" s="371">
        <v>1</v>
      </c>
      <c r="J925" s="360">
        <v>0.35</v>
      </c>
      <c r="K925" s="361"/>
      <c r="L925" s="368" t="s">
        <v>3280</v>
      </c>
    </row>
    <row r="926" spans="1:12" ht="15">
      <c r="A926" s="102"/>
      <c r="B926" s="354"/>
      <c r="C926" s="17"/>
      <c r="D926" s="364" t="s">
        <v>3106</v>
      </c>
      <c r="E926" s="370" t="s">
        <v>1302</v>
      </c>
      <c r="F926" s="370"/>
      <c r="G926" s="365"/>
      <c r="H926" s="369"/>
      <c r="I926" s="371">
        <v>5</v>
      </c>
      <c r="J926" s="360">
        <v>9.61</v>
      </c>
      <c r="K926" s="361"/>
      <c r="L926" s="368" t="s">
        <v>3107</v>
      </c>
    </row>
    <row r="927" spans="1:12" ht="15">
      <c r="A927" s="102"/>
      <c r="B927" s="354"/>
      <c r="C927" s="17"/>
      <c r="D927" s="364"/>
      <c r="E927" s="370"/>
      <c r="F927" s="370" t="s">
        <v>1305</v>
      </c>
      <c r="G927" s="365" t="s">
        <v>999</v>
      </c>
      <c r="H927" s="369" t="s">
        <v>3310</v>
      </c>
      <c r="I927" s="371">
        <v>1</v>
      </c>
      <c r="J927" s="360">
        <v>8.48</v>
      </c>
      <c r="K927" s="361" t="s">
        <v>3926</v>
      </c>
      <c r="L927" s="368" t="s">
        <v>3110</v>
      </c>
    </row>
    <row r="928" spans="1:12" ht="15">
      <c r="A928" s="102"/>
      <c r="B928" s="354"/>
      <c r="C928" s="17"/>
      <c r="D928" s="364"/>
      <c r="E928" s="370"/>
      <c r="F928" s="370" t="s">
        <v>1317</v>
      </c>
      <c r="G928" s="365" t="s">
        <v>1180</v>
      </c>
      <c r="H928" s="369" t="s">
        <v>1542</v>
      </c>
      <c r="I928" s="371">
        <v>1</v>
      </c>
      <c r="J928" s="360">
        <v>0.93</v>
      </c>
      <c r="K928" s="361"/>
      <c r="L928" s="368" t="s">
        <v>3111</v>
      </c>
    </row>
    <row r="929" spans="1:12" ht="15">
      <c r="A929" s="102"/>
      <c r="B929" s="354"/>
      <c r="C929" s="17"/>
      <c r="D929" s="364"/>
      <c r="E929" s="370"/>
      <c r="F929" s="370" t="s">
        <v>1317</v>
      </c>
      <c r="G929" s="365" t="s">
        <v>1211</v>
      </c>
      <c r="H929" s="369" t="s">
        <v>3132</v>
      </c>
      <c r="I929" s="371">
        <v>1</v>
      </c>
      <c r="J929" s="360">
        <v>0.04</v>
      </c>
      <c r="K929" s="361" t="s">
        <v>3927</v>
      </c>
      <c r="L929" s="368" t="s">
        <v>3112</v>
      </c>
    </row>
    <row r="930" spans="1:12" ht="15">
      <c r="A930" s="102"/>
      <c r="B930" s="354"/>
      <c r="C930" s="17"/>
      <c r="D930" s="364"/>
      <c r="E930" s="370"/>
      <c r="F930" s="370" t="s">
        <v>1317</v>
      </c>
      <c r="G930" s="365" t="s">
        <v>1544</v>
      </c>
      <c r="H930" s="369" t="s">
        <v>3133</v>
      </c>
      <c r="I930" s="371">
        <v>1</v>
      </c>
      <c r="J930" s="360">
        <v>0.06</v>
      </c>
      <c r="K930" s="361"/>
      <c r="L930" s="368" t="s">
        <v>3113</v>
      </c>
    </row>
    <row r="931" spans="1:12" ht="28.5">
      <c r="A931" s="102"/>
      <c r="B931" s="354"/>
      <c r="C931" s="17"/>
      <c r="D931" s="364"/>
      <c r="E931" s="370"/>
      <c r="F931" s="370" t="s">
        <v>1317</v>
      </c>
      <c r="G931" s="365" t="s">
        <v>1572</v>
      </c>
      <c r="H931" s="369" t="s">
        <v>3134</v>
      </c>
      <c r="I931" s="371">
        <v>1</v>
      </c>
      <c r="J931" s="360">
        <v>0.11</v>
      </c>
      <c r="K931" s="361" t="s">
        <v>3928</v>
      </c>
      <c r="L931" s="368" t="s">
        <v>3114</v>
      </c>
    </row>
    <row r="932" spans="1:12" ht="15">
      <c r="A932" s="102"/>
      <c r="B932" s="354"/>
      <c r="C932" s="17"/>
      <c r="D932" s="364" t="s">
        <v>3116</v>
      </c>
      <c r="E932" s="370" t="s">
        <v>1302</v>
      </c>
      <c r="F932" s="370"/>
      <c r="G932" s="365"/>
      <c r="H932" s="369" t="s">
        <v>3117</v>
      </c>
      <c r="I932" s="371">
        <v>10</v>
      </c>
      <c r="J932" s="360">
        <v>5.38</v>
      </c>
      <c r="K932" s="361"/>
      <c r="L932" s="368" t="s">
        <v>3115</v>
      </c>
    </row>
    <row r="933" spans="1:12" ht="15">
      <c r="A933" s="102"/>
      <c r="B933" s="354"/>
      <c r="C933" s="17"/>
      <c r="D933" s="364"/>
      <c r="E933" s="370"/>
      <c r="F933" s="370" t="s">
        <v>1305</v>
      </c>
      <c r="G933" s="365" t="s">
        <v>1007</v>
      </c>
      <c r="H933" s="369" t="s">
        <v>1362</v>
      </c>
      <c r="I933" s="371">
        <v>1</v>
      </c>
      <c r="J933" s="360">
        <v>0.11</v>
      </c>
      <c r="K933" s="361" t="s">
        <v>3868</v>
      </c>
      <c r="L933" s="368" t="s">
        <v>3118</v>
      </c>
    </row>
    <row r="934" spans="1:12" ht="15">
      <c r="A934" s="102"/>
      <c r="B934" s="354"/>
      <c r="C934" s="17"/>
      <c r="D934" s="364"/>
      <c r="E934" s="370"/>
      <c r="F934" s="370" t="s">
        <v>1317</v>
      </c>
      <c r="G934" s="365" t="s">
        <v>1157</v>
      </c>
      <c r="H934" s="369" t="s">
        <v>1339</v>
      </c>
      <c r="I934" s="371">
        <v>1</v>
      </c>
      <c r="J934" s="360">
        <v>0.57999999999999996</v>
      </c>
      <c r="K934" s="361" t="s">
        <v>3929</v>
      </c>
      <c r="L934" s="368" t="s">
        <v>3119</v>
      </c>
    </row>
    <row r="935" spans="1:12" ht="15">
      <c r="A935" s="102"/>
      <c r="B935" s="354"/>
      <c r="C935" s="17"/>
      <c r="D935" s="364"/>
      <c r="E935" s="370"/>
      <c r="F935" s="370" t="s">
        <v>1317</v>
      </c>
      <c r="G935" s="365" t="s">
        <v>1222</v>
      </c>
      <c r="H935" s="369" t="s">
        <v>3122</v>
      </c>
      <c r="I935" s="371">
        <v>1</v>
      </c>
      <c r="J935" s="360">
        <v>0.56000000000000005</v>
      </c>
      <c r="K935" s="361"/>
      <c r="L935" s="368" t="s">
        <v>3120</v>
      </c>
    </row>
    <row r="936" spans="1:12" ht="15">
      <c r="A936" s="102"/>
      <c r="B936" s="354"/>
      <c r="C936" s="17"/>
      <c r="D936" s="364"/>
      <c r="E936" s="370"/>
      <c r="F936" s="370" t="s">
        <v>1317</v>
      </c>
      <c r="G936" s="365" t="s">
        <v>1223</v>
      </c>
      <c r="H936" s="369" t="s">
        <v>2034</v>
      </c>
      <c r="I936" s="371">
        <v>1</v>
      </c>
      <c r="J936" s="360">
        <v>0.94</v>
      </c>
      <c r="K936" s="361"/>
      <c r="L936" s="368" t="s">
        <v>3121</v>
      </c>
    </row>
    <row r="937" spans="1:12" ht="15">
      <c r="A937" s="102"/>
      <c r="B937" s="354"/>
      <c r="C937" s="17"/>
      <c r="D937" s="364"/>
      <c r="E937" s="370"/>
      <c r="F937" s="370" t="s">
        <v>1317</v>
      </c>
      <c r="G937" s="365" t="s">
        <v>1539</v>
      </c>
      <c r="H937" s="369" t="s">
        <v>3124</v>
      </c>
      <c r="I937" s="371">
        <v>1</v>
      </c>
      <c r="J937" s="360">
        <v>2.81</v>
      </c>
      <c r="K937" s="361" t="s">
        <v>3870</v>
      </c>
      <c r="L937" s="368" t="s">
        <v>3123</v>
      </c>
    </row>
    <row r="938" spans="1:12" ht="15">
      <c r="A938" s="102"/>
      <c r="B938" s="354"/>
      <c r="C938" s="17"/>
      <c r="D938" s="364"/>
      <c r="E938" s="370"/>
      <c r="F938" s="370" t="s">
        <v>1317</v>
      </c>
      <c r="G938" s="365" t="s">
        <v>1572</v>
      </c>
      <c r="H938" s="369" t="s">
        <v>3126</v>
      </c>
      <c r="I938" s="371">
        <v>1</v>
      </c>
      <c r="J938" s="360">
        <v>0.02</v>
      </c>
      <c r="K938" s="361" t="s">
        <v>3870</v>
      </c>
      <c r="L938" s="368" t="s">
        <v>3125</v>
      </c>
    </row>
    <row r="939" spans="1:12" ht="15">
      <c r="A939" s="102"/>
      <c r="B939" s="354"/>
      <c r="C939" s="17"/>
      <c r="D939" s="364"/>
      <c r="E939" s="370"/>
      <c r="F939" s="370" t="s">
        <v>1317</v>
      </c>
      <c r="G939" s="365" t="s">
        <v>1199</v>
      </c>
      <c r="H939" s="369" t="s">
        <v>3286</v>
      </c>
      <c r="I939" s="371">
        <v>1</v>
      </c>
      <c r="J939" s="360">
        <v>0.37</v>
      </c>
      <c r="K939" s="361"/>
      <c r="L939" s="368" t="s">
        <v>3128</v>
      </c>
    </row>
    <row r="940" spans="1:12" ht="29.25">
      <c r="A940" s="102"/>
      <c r="B940" s="354"/>
      <c r="C940" s="17"/>
      <c r="D940" s="364" t="s">
        <v>3130</v>
      </c>
      <c r="E940" s="370" t="s">
        <v>1302</v>
      </c>
      <c r="F940" s="370"/>
      <c r="G940" s="365"/>
      <c r="H940" s="369"/>
      <c r="I940" s="371">
        <v>5</v>
      </c>
      <c r="J940" s="360">
        <v>13.65</v>
      </c>
      <c r="K940" s="361"/>
      <c r="L940" s="368" t="s">
        <v>3129</v>
      </c>
    </row>
    <row r="941" spans="1:12" ht="15">
      <c r="A941" s="102"/>
      <c r="B941" s="354"/>
      <c r="C941" s="17"/>
      <c r="D941" s="364"/>
      <c r="E941" s="370"/>
      <c r="F941" s="370" t="s">
        <v>1317</v>
      </c>
      <c r="G941" s="365" t="s">
        <v>1561</v>
      </c>
      <c r="H941" s="369" t="s">
        <v>3287</v>
      </c>
      <c r="I941" s="371">
        <v>2</v>
      </c>
      <c r="J941" s="360">
        <v>0.09</v>
      </c>
      <c r="K941" s="361" t="s">
        <v>3870</v>
      </c>
      <c r="L941" s="368" t="s">
        <v>3131</v>
      </c>
    </row>
    <row r="942" spans="1:12" ht="15">
      <c r="A942" s="102"/>
      <c r="B942" s="354"/>
      <c r="C942" s="17"/>
      <c r="D942" s="364"/>
      <c r="E942" s="370"/>
      <c r="F942" s="370" t="s">
        <v>1317</v>
      </c>
      <c r="G942" s="365" t="s">
        <v>1206</v>
      </c>
      <c r="H942" s="369" t="s">
        <v>1987</v>
      </c>
      <c r="I942" s="371">
        <v>1</v>
      </c>
      <c r="J942" s="360">
        <v>11.68</v>
      </c>
      <c r="K942" s="361" t="s">
        <v>3873</v>
      </c>
      <c r="L942" s="368" t="s">
        <v>3135</v>
      </c>
    </row>
    <row r="943" spans="1:12" ht="15">
      <c r="A943" s="102"/>
      <c r="B943" s="354"/>
      <c r="C943" s="17"/>
      <c r="D943" s="364"/>
      <c r="E943" s="370"/>
      <c r="F943" s="370" t="s">
        <v>1317</v>
      </c>
      <c r="G943" s="365" t="s">
        <v>1199</v>
      </c>
      <c r="H943" s="369" t="s">
        <v>3136</v>
      </c>
      <c r="I943" s="371">
        <v>2</v>
      </c>
      <c r="J943" s="360">
        <v>0.37</v>
      </c>
      <c r="K943" s="361"/>
      <c r="L943" s="368" t="s">
        <v>3137</v>
      </c>
    </row>
    <row r="944" spans="1:12" ht="15">
      <c r="A944" s="102"/>
      <c r="B944" s="354"/>
      <c r="C944" s="17"/>
      <c r="D944" s="364"/>
      <c r="E944" s="370"/>
      <c r="F944" s="370" t="s">
        <v>1317</v>
      </c>
      <c r="G944" s="365" t="s">
        <v>1199</v>
      </c>
      <c r="H944" s="369" t="s">
        <v>3138</v>
      </c>
      <c r="I944" s="371">
        <v>1</v>
      </c>
      <c r="J944" s="360">
        <v>0.37</v>
      </c>
      <c r="K944" s="361"/>
      <c r="L944" s="368" t="s">
        <v>3139</v>
      </c>
    </row>
    <row r="945" spans="1:12" ht="15">
      <c r="A945" s="102"/>
      <c r="B945" s="354"/>
      <c r="C945" s="17"/>
      <c r="D945" s="364"/>
      <c r="E945" s="370"/>
      <c r="F945" s="370" t="s">
        <v>1317</v>
      </c>
      <c r="G945" s="365" t="s">
        <v>1199</v>
      </c>
      <c r="H945" s="369" t="s">
        <v>3141</v>
      </c>
      <c r="I945" s="371">
        <v>1</v>
      </c>
      <c r="J945" s="360">
        <v>0.37</v>
      </c>
      <c r="K945" s="361"/>
      <c r="L945" s="368" t="s">
        <v>3140</v>
      </c>
    </row>
    <row r="946" spans="1:12" ht="15">
      <c r="A946" s="102"/>
      <c r="B946" s="354"/>
      <c r="C946" s="17"/>
      <c r="D946" s="364"/>
      <c r="E946" s="370"/>
      <c r="F946" s="370" t="s">
        <v>1309</v>
      </c>
      <c r="G946" s="365" t="s">
        <v>1228</v>
      </c>
      <c r="H946" s="369" t="s">
        <v>2523</v>
      </c>
      <c r="I946" s="371">
        <v>2</v>
      </c>
      <c r="J946" s="360">
        <v>7.0000000000000007E-2</v>
      </c>
      <c r="K946" s="361" t="s">
        <v>3930</v>
      </c>
      <c r="L946" s="368" t="s">
        <v>3142</v>
      </c>
    </row>
    <row r="947" spans="1:12" ht="15">
      <c r="A947" s="102"/>
      <c r="B947" s="354"/>
      <c r="C947" s="17"/>
      <c r="D947" s="364"/>
      <c r="E947" s="370"/>
      <c r="F947" s="370" t="s">
        <v>1309</v>
      </c>
      <c r="G947" s="365" t="s">
        <v>1230</v>
      </c>
      <c r="H947" s="369" t="s">
        <v>2621</v>
      </c>
      <c r="I947" s="371">
        <v>2</v>
      </c>
      <c r="J947" s="360">
        <v>0.02</v>
      </c>
      <c r="K947" s="361"/>
      <c r="L947" s="368" t="s">
        <v>3143</v>
      </c>
    </row>
    <row r="948" spans="1:12" ht="15">
      <c r="A948" s="102"/>
      <c r="B948" s="354"/>
      <c r="C948" s="17"/>
      <c r="D948" s="364"/>
      <c r="E948" s="370"/>
      <c r="F948" s="370" t="s">
        <v>1317</v>
      </c>
      <c r="G948" s="365" t="s">
        <v>1210</v>
      </c>
      <c r="H948" s="369"/>
      <c r="I948" s="371">
        <v>4</v>
      </c>
      <c r="J948" s="360">
        <v>0.03</v>
      </c>
      <c r="K948" s="361"/>
      <c r="L948" s="368" t="s">
        <v>3144</v>
      </c>
    </row>
    <row r="949" spans="1:12" ht="29.25">
      <c r="A949" s="102"/>
      <c r="B949" s="354"/>
      <c r="C949" s="17"/>
      <c r="D949" s="364" t="s">
        <v>2869</v>
      </c>
      <c r="E949" s="370" t="s">
        <v>1311</v>
      </c>
      <c r="F949" s="370"/>
      <c r="G949" s="365"/>
      <c r="H949" s="369"/>
      <c r="I949" s="371">
        <v>5</v>
      </c>
      <c r="J949" s="360">
        <v>2.4300000000000002</v>
      </c>
      <c r="K949" s="361"/>
      <c r="L949" s="368" t="s">
        <v>3145</v>
      </c>
    </row>
    <row r="950" spans="1:12" ht="29.25">
      <c r="A950" s="102"/>
      <c r="B950" s="354"/>
      <c r="C950" s="17"/>
      <c r="D950" s="364" t="s">
        <v>2871</v>
      </c>
      <c r="E950" s="370" t="s">
        <v>1311</v>
      </c>
      <c r="F950" s="370"/>
      <c r="G950" s="365"/>
      <c r="H950" s="369"/>
      <c r="I950" s="371">
        <v>5</v>
      </c>
      <c r="J950" s="360">
        <v>2.4300000000000002</v>
      </c>
      <c r="K950" s="361"/>
      <c r="L950" s="368" t="s">
        <v>3146</v>
      </c>
    </row>
    <row r="951" spans="1:12" ht="15">
      <c r="A951" s="102"/>
      <c r="B951" s="354"/>
      <c r="C951" s="17"/>
      <c r="D951" s="364" t="s">
        <v>3148</v>
      </c>
      <c r="E951" s="370" t="s">
        <v>1302</v>
      </c>
      <c r="F951" s="370"/>
      <c r="G951" s="365"/>
      <c r="H951" s="369"/>
      <c r="I951" s="371">
        <v>10</v>
      </c>
      <c r="J951" s="360">
        <v>0.19</v>
      </c>
      <c r="K951" s="361"/>
      <c r="L951" s="368" t="s">
        <v>3147</v>
      </c>
    </row>
    <row r="952" spans="1:12" ht="15">
      <c r="A952" s="102"/>
      <c r="B952" s="354"/>
      <c r="C952" s="17"/>
      <c r="D952" s="364"/>
      <c r="E952" s="370"/>
      <c r="F952" s="370" t="s">
        <v>1305</v>
      </c>
      <c r="G952" s="365" t="s">
        <v>1009</v>
      </c>
      <c r="H952" s="369"/>
      <c r="I952" s="371">
        <v>1</v>
      </c>
      <c r="J952" s="360">
        <v>0.01</v>
      </c>
      <c r="K952" s="361" t="s">
        <v>3931</v>
      </c>
      <c r="L952" s="368" t="s">
        <v>3149</v>
      </c>
    </row>
    <row r="953" spans="1:12" ht="15">
      <c r="A953" s="102"/>
      <c r="B953" s="354"/>
      <c r="C953" s="17"/>
      <c r="D953" s="364"/>
      <c r="E953" s="370"/>
      <c r="F953" s="370" t="s">
        <v>1317</v>
      </c>
      <c r="G953" s="365" t="s">
        <v>1156</v>
      </c>
      <c r="H953" s="369"/>
      <c r="I953" s="371">
        <v>1</v>
      </c>
      <c r="J953" s="360">
        <v>0.1</v>
      </c>
      <c r="K953" s="361" t="s">
        <v>3932</v>
      </c>
      <c r="L953" s="368" t="s">
        <v>3150</v>
      </c>
    </row>
    <row r="954" spans="1:12" ht="15">
      <c r="A954" s="102"/>
      <c r="B954" s="354"/>
      <c r="C954" s="17"/>
      <c r="D954" s="364"/>
      <c r="E954" s="370"/>
      <c r="F954" s="370" t="s">
        <v>1317</v>
      </c>
      <c r="G954" s="365" t="s">
        <v>941</v>
      </c>
      <c r="H954" s="369"/>
      <c r="I954" s="371">
        <v>1</v>
      </c>
      <c r="J954" s="360">
        <v>0.08</v>
      </c>
      <c r="K954" s="361" t="s">
        <v>3802</v>
      </c>
      <c r="L954" s="368" t="s">
        <v>3151</v>
      </c>
    </row>
    <row r="955" spans="1:12" ht="15.75">
      <c r="A955" s="102"/>
      <c r="B955" s="105"/>
      <c r="C955" s="105"/>
      <c r="D955" s="321"/>
      <c r="E955" s="396"/>
      <c r="F955" s="105"/>
      <c r="G955" s="321"/>
      <c r="H955" s="104"/>
      <c r="I955" s="417"/>
      <c r="J955" s="108"/>
      <c r="K955" s="133"/>
      <c r="L955" s="321"/>
    </row>
    <row r="956" spans="1:12">
      <c r="A956" s="353"/>
      <c r="B956" s="354" t="s">
        <v>13</v>
      </c>
      <c r="C956" s="355" t="s">
        <v>79</v>
      </c>
      <c r="D956" s="355"/>
      <c r="E956" s="402"/>
      <c r="F956" s="356"/>
      <c r="G956" s="354"/>
      <c r="H956" s="355"/>
      <c r="I956" s="421">
        <v>1</v>
      </c>
      <c r="J956" s="357">
        <v>17</v>
      </c>
      <c r="K956" s="358"/>
      <c r="L956" s="363" t="s">
        <v>3393</v>
      </c>
    </row>
    <row r="957" spans="1:12">
      <c r="A957" s="353"/>
      <c r="B957" s="354"/>
      <c r="C957" s="17"/>
      <c r="D957" s="17" t="s">
        <v>3392</v>
      </c>
      <c r="E957" s="370" t="s">
        <v>1302</v>
      </c>
      <c r="F957" s="359"/>
      <c r="G957" s="353"/>
      <c r="H957" s="17"/>
      <c r="I957" s="371">
        <v>1</v>
      </c>
      <c r="J957" s="360">
        <v>2.2999999999999998</v>
      </c>
      <c r="K957" s="361"/>
      <c r="L957" s="368" t="s">
        <v>3394</v>
      </c>
    </row>
    <row r="958" spans="1:12">
      <c r="A958" s="353"/>
      <c r="B958" s="354"/>
      <c r="C958" s="17"/>
      <c r="D958" s="17"/>
      <c r="E958" s="370"/>
      <c r="F958" s="359" t="s">
        <v>1305</v>
      </c>
      <c r="G958" s="353" t="s">
        <v>1008</v>
      </c>
      <c r="H958" s="17" t="s">
        <v>3395</v>
      </c>
      <c r="I958" s="371">
        <v>1</v>
      </c>
      <c r="J958" s="360">
        <v>0.93</v>
      </c>
      <c r="K958" s="361" t="s">
        <v>3933</v>
      </c>
      <c r="L958" s="368" t="s">
        <v>3396</v>
      </c>
    </row>
    <row r="959" spans="1:12">
      <c r="A959" s="353"/>
      <c r="B959" s="354"/>
      <c r="C959" s="17"/>
      <c r="D959" s="17"/>
      <c r="E959" s="370"/>
      <c r="F959" s="359" t="s">
        <v>1317</v>
      </c>
      <c r="G959" s="353" t="s">
        <v>1157</v>
      </c>
      <c r="H959" s="17" t="s">
        <v>1339</v>
      </c>
      <c r="I959" s="371">
        <v>1</v>
      </c>
      <c r="J959" s="360">
        <v>0.61</v>
      </c>
      <c r="K959" s="361" t="s">
        <v>3934</v>
      </c>
      <c r="L959" s="368" t="s">
        <v>3397</v>
      </c>
    </row>
    <row r="960" spans="1:12">
      <c r="A960" s="353"/>
      <c r="B960" s="354"/>
      <c r="C960" s="17"/>
      <c r="D960" s="17"/>
      <c r="E960" s="370"/>
      <c r="F960" s="359" t="s">
        <v>1309</v>
      </c>
      <c r="G960" s="353" t="s">
        <v>1228</v>
      </c>
      <c r="H960" s="17" t="s">
        <v>2523</v>
      </c>
      <c r="I960" s="371">
        <v>1</v>
      </c>
      <c r="J960" s="360">
        <v>7.0000000000000007E-2</v>
      </c>
      <c r="K960" s="361"/>
      <c r="L960" s="368" t="s">
        <v>3398</v>
      </c>
    </row>
    <row r="961" spans="1:12">
      <c r="A961" s="353"/>
      <c r="B961" s="354"/>
      <c r="C961" s="17"/>
      <c r="D961" s="17"/>
      <c r="E961" s="370"/>
      <c r="F961" s="359" t="s">
        <v>1309</v>
      </c>
      <c r="G961" s="353" t="s">
        <v>1230</v>
      </c>
      <c r="H961" s="17" t="s">
        <v>2621</v>
      </c>
      <c r="I961" s="371">
        <v>2</v>
      </c>
      <c r="J961" s="360">
        <v>0.02</v>
      </c>
      <c r="K961" s="361"/>
      <c r="L961" s="368" t="s">
        <v>3399</v>
      </c>
    </row>
    <row r="962" spans="1:12">
      <c r="A962" s="353"/>
      <c r="B962" s="354"/>
      <c r="C962" s="17"/>
      <c r="D962" s="17"/>
      <c r="E962" s="370"/>
      <c r="F962" s="359" t="s">
        <v>1317</v>
      </c>
      <c r="G962" s="353" t="s">
        <v>1199</v>
      </c>
      <c r="H962" s="17" t="s">
        <v>3401</v>
      </c>
      <c r="I962" s="371">
        <v>1</v>
      </c>
      <c r="J962" s="360">
        <v>0.65</v>
      </c>
      <c r="K962" s="361"/>
      <c r="L962" s="368" t="s">
        <v>3400</v>
      </c>
    </row>
    <row r="963" spans="1:12" ht="15">
      <c r="A963" s="102"/>
      <c r="B963" s="354"/>
      <c r="C963" s="17"/>
      <c r="D963" s="17" t="s">
        <v>3402</v>
      </c>
      <c r="E963" s="370" t="s">
        <v>1311</v>
      </c>
      <c r="F963" s="359"/>
      <c r="G963" s="353"/>
      <c r="H963" s="17"/>
      <c r="I963" s="371">
        <v>1</v>
      </c>
      <c r="J963" s="360">
        <v>14.02</v>
      </c>
      <c r="K963" s="361" t="s">
        <v>3935</v>
      </c>
      <c r="L963" s="368" t="s">
        <v>3403</v>
      </c>
    </row>
    <row r="964" spans="1:12" ht="15">
      <c r="A964" s="102"/>
      <c r="B964" s="354"/>
      <c r="C964" s="17"/>
      <c r="D964" s="17" t="s">
        <v>3404</v>
      </c>
      <c r="E964" s="370" t="s">
        <v>1302</v>
      </c>
      <c r="F964" s="359"/>
      <c r="G964" s="353"/>
      <c r="H964" s="17"/>
      <c r="I964" s="371">
        <v>1</v>
      </c>
      <c r="J964" s="360">
        <v>0.68</v>
      </c>
      <c r="K964" s="361"/>
      <c r="L964" s="368" t="s">
        <v>3405</v>
      </c>
    </row>
    <row r="965" spans="1:12" ht="15">
      <c r="A965" s="102"/>
      <c r="B965" s="354"/>
      <c r="C965" s="17"/>
      <c r="D965" s="17"/>
      <c r="E965" s="370"/>
      <c r="F965" s="359" t="s">
        <v>1305</v>
      </c>
      <c r="G965" s="353" t="s">
        <v>1009</v>
      </c>
      <c r="H965" s="17"/>
      <c r="I965" s="371">
        <v>1</v>
      </c>
      <c r="J965" s="360">
        <v>0.03</v>
      </c>
      <c r="K965" s="361" t="s">
        <v>3936</v>
      </c>
      <c r="L965" s="368" t="s">
        <v>3406</v>
      </c>
    </row>
    <row r="966" spans="1:12" ht="15">
      <c r="A966" s="102"/>
      <c r="B966" s="354"/>
      <c r="C966" s="17"/>
      <c r="D966" s="17"/>
      <c r="E966" s="370"/>
      <c r="F966" s="359" t="s">
        <v>1317</v>
      </c>
      <c r="G966" s="353" t="s">
        <v>1156</v>
      </c>
      <c r="H966" s="17"/>
      <c r="I966" s="371">
        <v>1</v>
      </c>
      <c r="J966" s="360">
        <v>0.09</v>
      </c>
      <c r="K966" s="361" t="s">
        <v>3937</v>
      </c>
      <c r="L966" s="368" t="s">
        <v>3407</v>
      </c>
    </row>
    <row r="967" spans="1:12" ht="15">
      <c r="A967" s="102"/>
      <c r="B967" s="354"/>
      <c r="C967" s="17"/>
      <c r="D967" s="17"/>
      <c r="E967" s="370"/>
      <c r="F967" s="359" t="s">
        <v>1317</v>
      </c>
      <c r="G967" s="353" t="s">
        <v>1711</v>
      </c>
      <c r="H967" s="17"/>
      <c r="I967" s="371">
        <v>1</v>
      </c>
      <c r="J967" s="360">
        <v>0.56000000000000005</v>
      </c>
      <c r="K967" s="361"/>
      <c r="L967" s="368" t="s">
        <v>3408</v>
      </c>
    </row>
    <row r="968" spans="1:12" ht="15.75">
      <c r="A968" s="102"/>
      <c r="B968" s="105"/>
      <c r="C968" s="105"/>
      <c r="D968" s="321"/>
      <c r="E968" s="396"/>
      <c r="F968" s="105"/>
      <c r="G968" s="321"/>
      <c r="H968" s="104"/>
      <c r="I968" s="417"/>
      <c r="J968" s="108"/>
      <c r="K968" s="133"/>
      <c r="L968" s="321"/>
    </row>
    <row r="969" spans="1:12" ht="18">
      <c r="A969" s="158" t="s">
        <v>18</v>
      </c>
      <c r="B969" s="105"/>
      <c r="C969" s="105"/>
      <c r="D969" s="321"/>
      <c r="E969" s="396"/>
      <c r="F969" s="105"/>
      <c r="G969" s="321"/>
      <c r="H969" s="159" t="s">
        <v>1247</v>
      </c>
      <c r="I969" s="414">
        <v>1</v>
      </c>
      <c r="J969" s="134">
        <v>0</v>
      </c>
      <c r="K969" s="161">
        <f>J969*I969</f>
        <v>0</v>
      </c>
      <c r="L969" s="321"/>
    </row>
    <row r="970" spans="1:12" ht="15">
      <c r="A970" s="102"/>
      <c r="B970" s="105"/>
      <c r="C970" s="105"/>
      <c r="D970" s="321"/>
      <c r="E970" s="396"/>
      <c r="F970" s="105"/>
      <c r="G970" s="321"/>
      <c r="H970" s="104"/>
      <c r="I970" s="417"/>
      <c r="J970" s="108"/>
      <c r="K970" s="106"/>
      <c r="L970" s="321"/>
    </row>
    <row r="971" spans="1:12">
      <c r="A971" s="353"/>
      <c r="B971" s="436" t="s">
        <v>14</v>
      </c>
      <c r="C971" s="437" t="s">
        <v>88</v>
      </c>
      <c r="D971" s="437"/>
      <c r="E971" s="450"/>
      <c r="F971" s="438"/>
      <c r="G971" s="436"/>
      <c r="H971" s="437"/>
      <c r="I971" s="452">
        <v>1</v>
      </c>
      <c r="J971" s="439"/>
      <c r="K971" s="440"/>
      <c r="L971" s="447" t="s">
        <v>3073</v>
      </c>
    </row>
    <row r="972" spans="1:12">
      <c r="A972" s="353"/>
      <c r="B972" s="436"/>
      <c r="C972" s="17"/>
      <c r="D972" s="17" t="s">
        <v>3072</v>
      </c>
      <c r="E972" s="370" t="s">
        <v>1302</v>
      </c>
      <c r="F972" s="359"/>
      <c r="G972" s="353"/>
      <c r="H972" s="17"/>
      <c r="I972" s="371">
        <v>1</v>
      </c>
      <c r="J972" s="360"/>
      <c r="K972" s="361"/>
      <c r="L972" s="368" t="s">
        <v>3074</v>
      </c>
    </row>
    <row r="973" spans="1:12">
      <c r="A973" s="353"/>
      <c r="B973" s="436"/>
      <c r="C973" s="17"/>
      <c r="D973" s="17"/>
      <c r="E973" s="370"/>
      <c r="F973" s="359" t="s">
        <v>1305</v>
      </c>
      <c r="G973" s="353" t="s">
        <v>999</v>
      </c>
      <c r="H973" s="17"/>
      <c r="I973" s="371">
        <v>4</v>
      </c>
      <c r="J973" s="360"/>
      <c r="K973" s="361"/>
      <c r="L973" s="368" t="s">
        <v>3075</v>
      </c>
    </row>
    <row r="974" spans="1:12">
      <c r="A974" s="353"/>
      <c r="B974" s="436"/>
      <c r="C974" s="17"/>
      <c r="D974" s="17"/>
      <c r="E974" s="370"/>
      <c r="F974" s="359" t="s">
        <v>1305</v>
      </c>
      <c r="G974" s="353" t="s">
        <v>1010</v>
      </c>
      <c r="H974" s="17" t="s">
        <v>3076</v>
      </c>
      <c r="I974" s="371">
        <v>1</v>
      </c>
      <c r="J974" s="360"/>
      <c r="K974" s="361"/>
      <c r="L974" s="368" t="s">
        <v>3077</v>
      </c>
    </row>
    <row r="975" spans="1:12">
      <c r="A975" s="353"/>
      <c r="B975" s="436"/>
      <c r="C975" s="17"/>
      <c r="D975" s="17"/>
      <c r="E975" s="370"/>
      <c r="F975" s="359" t="s">
        <v>1317</v>
      </c>
      <c r="G975" s="353" t="s">
        <v>1218</v>
      </c>
      <c r="H975" s="17"/>
      <c r="I975" s="371">
        <v>4</v>
      </c>
      <c r="J975" s="360"/>
      <c r="K975" s="361"/>
      <c r="L975" s="368" t="s">
        <v>3078</v>
      </c>
    </row>
    <row r="976" spans="1:12">
      <c r="A976" s="353"/>
      <c r="B976" s="436"/>
      <c r="C976" s="17"/>
      <c r="D976" s="17"/>
      <c r="E976" s="370"/>
      <c r="F976" s="359" t="s">
        <v>1317</v>
      </c>
      <c r="G976" s="353" t="s">
        <v>1157</v>
      </c>
      <c r="H976" s="17" t="s">
        <v>2277</v>
      </c>
      <c r="I976" s="371">
        <v>1</v>
      </c>
      <c r="J976" s="360"/>
      <c r="K976" s="361"/>
      <c r="L976" s="368" t="s">
        <v>3081</v>
      </c>
    </row>
    <row r="977" spans="1:12">
      <c r="A977" s="353"/>
      <c r="B977" s="436"/>
      <c r="C977" s="17"/>
      <c r="D977" s="17"/>
      <c r="E977" s="370"/>
      <c r="F977" s="359" t="s">
        <v>1309</v>
      </c>
      <c r="G977" s="353" t="s">
        <v>1228</v>
      </c>
      <c r="H977" s="17" t="s">
        <v>2657</v>
      </c>
      <c r="I977" s="371">
        <v>4</v>
      </c>
      <c r="J977" s="360"/>
      <c r="K977" s="361"/>
      <c r="L977" s="368" t="s">
        <v>3082</v>
      </c>
    </row>
    <row r="978" spans="1:12">
      <c r="A978" s="353"/>
      <c r="B978" s="436"/>
      <c r="C978" s="17"/>
      <c r="D978" s="17"/>
      <c r="E978" s="370"/>
      <c r="F978" s="359" t="s">
        <v>1309</v>
      </c>
      <c r="G978" s="353" t="s">
        <v>1235</v>
      </c>
      <c r="H978" s="17" t="s">
        <v>2659</v>
      </c>
      <c r="I978" s="371">
        <v>4</v>
      </c>
      <c r="J978" s="360"/>
      <c r="K978" s="361"/>
      <c r="L978" s="368" t="s">
        <v>3083</v>
      </c>
    </row>
    <row r="979" spans="1:12">
      <c r="A979" s="353"/>
      <c r="B979" s="436"/>
      <c r="C979" s="17"/>
      <c r="D979" s="17"/>
      <c r="E979" s="370"/>
      <c r="F979" s="359" t="s">
        <v>1309</v>
      </c>
      <c r="G979" s="353" t="s">
        <v>1230</v>
      </c>
      <c r="H979" s="17" t="s">
        <v>2659</v>
      </c>
      <c r="I979" s="371">
        <v>4</v>
      </c>
      <c r="J979" s="360"/>
      <c r="K979" s="361"/>
      <c r="L979" s="368" t="s">
        <v>3084</v>
      </c>
    </row>
    <row r="980" spans="1:12">
      <c r="A980" s="353"/>
      <c r="B980" s="436"/>
      <c r="C980" s="17"/>
      <c r="D980" s="17"/>
      <c r="E980" s="370"/>
      <c r="F980" s="359" t="s">
        <v>1317</v>
      </c>
      <c r="G980" s="353" t="s">
        <v>1210</v>
      </c>
      <c r="H980" s="17"/>
      <c r="I980" s="371">
        <v>12</v>
      </c>
      <c r="J980" s="360"/>
      <c r="K980" s="361"/>
      <c r="L980" s="368" t="s">
        <v>3085</v>
      </c>
    </row>
    <row r="981" spans="1:12">
      <c r="A981" s="353"/>
      <c r="B981" s="436"/>
      <c r="C981" s="17"/>
      <c r="D981" s="17"/>
      <c r="E981" s="370"/>
      <c r="F981" s="359" t="s">
        <v>1317</v>
      </c>
      <c r="G981" s="353" t="s">
        <v>1214</v>
      </c>
      <c r="H981" s="17"/>
      <c r="I981" s="371">
        <v>1</v>
      </c>
      <c r="J981" s="360"/>
      <c r="K981" s="361"/>
      <c r="L981" s="368" t="s">
        <v>3086</v>
      </c>
    </row>
    <row r="982" spans="1:12">
      <c r="A982" s="353"/>
      <c r="B982" s="436"/>
      <c r="C982" s="17"/>
      <c r="D982" s="17"/>
      <c r="E982" s="370"/>
      <c r="F982" s="359" t="s">
        <v>1317</v>
      </c>
      <c r="G982" s="353" t="s">
        <v>1025</v>
      </c>
      <c r="H982" s="17"/>
      <c r="I982" s="371">
        <v>1</v>
      </c>
      <c r="J982" s="360"/>
      <c r="K982" s="361"/>
      <c r="L982" s="368" t="s">
        <v>3087</v>
      </c>
    </row>
    <row r="983" spans="1:12">
      <c r="A983" s="353"/>
      <c r="B983" s="436"/>
      <c r="C983" s="17"/>
      <c r="D983" s="17"/>
      <c r="E983" s="370"/>
      <c r="F983" s="359" t="s">
        <v>1317</v>
      </c>
      <c r="G983" s="353" t="s">
        <v>1206</v>
      </c>
      <c r="H983" s="17"/>
      <c r="I983" s="371">
        <v>1</v>
      </c>
      <c r="J983" s="360"/>
      <c r="K983" s="361"/>
      <c r="L983" s="368" t="s">
        <v>3088</v>
      </c>
    </row>
    <row r="984" spans="1:12">
      <c r="A984" s="353"/>
      <c r="B984" s="436"/>
      <c r="C984" s="17"/>
      <c r="D984" s="17"/>
      <c r="E984" s="370"/>
      <c r="F984" s="359" t="s">
        <v>2117</v>
      </c>
      <c r="G984" s="353" t="s">
        <v>3508</v>
      </c>
      <c r="H984" s="17"/>
      <c r="I984" s="371">
        <v>1</v>
      </c>
      <c r="J984" s="360"/>
      <c r="K984" s="361"/>
      <c r="L984" s="368" t="s">
        <v>3509</v>
      </c>
    </row>
    <row r="985" spans="1:12">
      <c r="A985" s="353"/>
      <c r="B985" s="436"/>
      <c r="C985" s="17"/>
      <c r="D985" s="17"/>
      <c r="E985" s="370"/>
      <c r="F985" s="359" t="s">
        <v>1317</v>
      </c>
      <c r="G985" s="353" t="s">
        <v>1199</v>
      </c>
      <c r="H985" s="17" t="s">
        <v>3510</v>
      </c>
      <c r="I985" s="371">
        <v>1</v>
      </c>
      <c r="J985" s="360"/>
      <c r="K985" s="361"/>
      <c r="L985" s="368" t="s">
        <v>3511</v>
      </c>
    </row>
    <row r="986" spans="1:12" ht="29.25">
      <c r="A986" s="102"/>
      <c r="B986" s="436"/>
      <c r="C986" s="17"/>
      <c r="D986" s="364" t="s">
        <v>3513</v>
      </c>
      <c r="E986" s="370" t="s">
        <v>1311</v>
      </c>
      <c r="F986" s="359"/>
      <c r="G986" s="353"/>
      <c r="H986" s="17"/>
      <c r="I986" s="371">
        <v>1</v>
      </c>
      <c r="J986" s="360"/>
      <c r="K986" s="361"/>
      <c r="L986" s="368" t="s">
        <v>3512</v>
      </c>
    </row>
    <row r="987" spans="1:12" ht="15">
      <c r="A987" s="102"/>
      <c r="B987" s="436"/>
      <c r="C987" s="17"/>
      <c r="D987" s="364" t="s">
        <v>3514</v>
      </c>
      <c r="E987" s="370" t="s">
        <v>1311</v>
      </c>
      <c r="F987" s="359"/>
      <c r="G987" s="353"/>
      <c r="H987" s="17"/>
      <c r="I987" s="371">
        <v>4</v>
      </c>
      <c r="J987" s="360"/>
      <c r="K987" s="361"/>
      <c r="L987" s="368" t="s">
        <v>3515</v>
      </c>
    </row>
    <row r="988" spans="1:12" ht="15">
      <c r="A988" s="102"/>
      <c r="B988" s="436"/>
      <c r="C988" s="17"/>
      <c r="D988" s="364" t="s">
        <v>3516</v>
      </c>
      <c r="E988" s="370" t="s">
        <v>1311</v>
      </c>
      <c r="F988" s="359"/>
      <c r="G988" s="353"/>
      <c r="H988" s="17"/>
      <c r="I988" s="371">
        <v>1</v>
      </c>
      <c r="J988" s="360"/>
      <c r="K988" s="361"/>
      <c r="L988" s="368" t="s">
        <v>3517</v>
      </c>
    </row>
    <row r="989" spans="1:12" ht="15">
      <c r="A989" s="102"/>
      <c r="B989" s="436"/>
      <c r="C989" s="17"/>
      <c r="D989" s="364" t="s">
        <v>3518</v>
      </c>
      <c r="E989" s="370" t="s">
        <v>1311</v>
      </c>
      <c r="F989" s="359"/>
      <c r="G989" s="353"/>
      <c r="H989" s="17"/>
      <c r="I989" s="371">
        <v>3</v>
      </c>
      <c r="J989" s="360"/>
      <c r="K989" s="361"/>
      <c r="L989" s="368" t="s">
        <v>3519</v>
      </c>
    </row>
    <row r="990" spans="1:12" ht="15">
      <c r="A990" s="102"/>
      <c r="B990" s="436"/>
      <c r="C990" s="17"/>
      <c r="D990" s="364" t="s">
        <v>3520</v>
      </c>
      <c r="E990" s="370" t="s">
        <v>1311</v>
      </c>
      <c r="F990" s="359"/>
      <c r="G990" s="353"/>
      <c r="H990" s="17"/>
      <c r="I990" s="371">
        <v>1</v>
      </c>
      <c r="J990" s="360"/>
      <c r="K990" s="361"/>
      <c r="L990" s="368" t="s">
        <v>3521</v>
      </c>
    </row>
    <row r="991" spans="1:12" ht="15">
      <c r="A991" s="102"/>
      <c r="B991" s="436"/>
      <c r="C991" s="17"/>
      <c r="D991" s="364" t="s">
        <v>3522</v>
      </c>
      <c r="E991" s="370" t="s">
        <v>1311</v>
      </c>
      <c r="F991" s="359"/>
      <c r="G991" s="353"/>
      <c r="H991" s="17"/>
      <c r="I991" s="371">
        <v>1</v>
      </c>
      <c r="J991" s="360"/>
      <c r="K991" s="361"/>
      <c r="L991" s="368" t="s">
        <v>3523</v>
      </c>
    </row>
    <row r="992" spans="1:12" ht="15">
      <c r="A992" s="102"/>
      <c r="B992" s="436"/>
      <c r="C992" s="17"/>
      <c r="D992" s="364" t="s">
        <v>3524</v>
      </c>
      <c r="E992" s="370" t="s">
        <v>1311</v>
      </c>
      <c r="F992" s="359"/>
      <c r="G992" s="353"/>
      <c r="H992" s="17"/>
      <c r="I992" s="371">
        <v>1</v>
      </c>
      <c r="J992" s="360"/>
      <c r="K992" s="361"/>
      <c r="L992" s="368" t="s">
        <v>3525</v>
      </c>
    </row>
    <row r="993" spans="1:12" ht="15">
      <c r="A993" s="102"/>
      <c r="B993" s="436"/>
      <c r="C993" s="17"/>
      <c r="D993" s="364" t="s">
        <v>3526</v>
      </c>
      <c r="E993" s="370" t="s">
        <v>1311</v>
      </c>
      <c r="F993" s="359"/>
      <c r="G993" s="353"/>
      <c r="H993" s="17"/>
      <c r="I993" s="371">
        <v>6</v>
      </c>
      <c r="J993" s="360"/>
      <c r="K993" s="361"/>
      <c r="L993" s="368" t="s">
        <v>3527</v>
      </c>
    </row>
    <row r="994" spans="1:12" ht="15">
      <c r="A994" s="102"/>
      <c r="B994" s="436"/>
      <c r="C994" s="17"/>
      <c r="D994" s="364" t="s">
        <v>3528</v>
      </c>
      <c r="E994" s="370" t="s">
        <v>1311</v>
      </c>
      <c r="F994" s="359"/>
      <c r="G994" s="353"/>
      <c r="H994" s="17"/>
      <c r="I994" s="371">
        <v>2</v>
      </c>
      <c r="J994" s="360"/>
      <c r="K994" s="361"/>
      <c r="L994" s="368" t="s">
        <v>3529</v>
      </c>
    </row>
    <row r="995" spans="1:12" ht="15">
      <c r="A995" s="102"/>
      <c r="B995" s="436"/>
      <c r="C995" s="17"/>
      <c r="D995" s="364" t="s">
        <v>3530</v>
      </c>
      <c r="E995" s="370" t="s">
        <v>1311</v>
      </c>
      <c r="F995" s="359"/>
      <c r="G995" s="353"/>
      <c r="H995" s="17"/>
      <c r="I995" s="371">
        <v>1</v>
      </c>
      <c r="J995" s="360"/>
      <c r="K995" s="361"/>
      <c r="L995" s="368" t="s">
        <v>3531</v>
      </c>
    </row>
    <row r="996" spans="1:12" ht="15">
      <c r="A996" s="102"/>
      <c r="B996" s="436"/>
      <c r="C996" s="17"/>
      <c r="D996" s="364" t="s">
        <v>3532</v>
      </c>
      <c r="E996" s="370" t="s">
        <v>1311</v>
      </c>
      <c r="F996" s="359"/>
      <c r="G996" s="353"/>
      <c r="H996" s="17"/>
      <c r="I996" s="371">
        <v>1</v>
      </c>
      <c r="J996" s="360"/>
      <c r="K996" s="361"/>
      <c r="L996" s="368" t="s">
        <v>3533</v>
      </c>
    </row>
    <row r="997" spans="1:12" ht="15">
      <c r="A997" s="102"/>
      <c r="B997" s="436"/>
      <c r="C997" s="17"/>
      <c r="D997" s="364" t="s">
        <v>3532</v>
      </c>
      <c r="E997" s="370" t="s">
        <v>1311</v>
      </c>
      <c r="F997" s="359"/>
      <c r="G997" s="353"/>
      <c r="H997" s="17"/>
      <c r="I997" s="371">
        <v>1</v>
      </c>
      <c r="J997" s="360"/>
      <c r="K997" s="361"/>
      <c r="L997" s="368" t="s">
        <v>3534</v>
      </c>
    </row>
    <row r="998" spans="1:12" ht="15">
      <c r="A998" s="102"/>
      <c r="B998" s="436"/>
      <c r="C998" s="17"/>
      <c r="D998" s="364" t="s">
        <v>3535</v>
      </c>
      <c r="E998" s="370" t="s">
        <v>1311</v>
      </c>
      <c r="F998" s="359"/>
      <c r="G998" s="353"/>
      <c r="H998" s="17" t="s">
        <v>3537</v>
      </c>
      <c r="I998" s="371">
        <v>1</v>
      </c>
      <c r="J998" s="360"/>
      <c r="K998" s="361"/>
      <c r="L998" s="368" t="s">
        <v>3536</v>
      </c>
    </row>
    <row r="999" spans="1:12" ht="15">
      <c r="A999" s="102"/>
      <c r="B999" s="436"/>
      <c r="C999" s="17"/>
      <c r="D999" s="364" t="s">
        <v>3538</v>
      </c>
      <c r="E999" s="370" t="s">
        <v>1311</v>
      </c>
      <c r="F999" s="359"/>
      <c r="G999" s="353"/>
      <c r="H999" s="17" t="s">
        <v>3540</v>
      </c>
      <c r="I999" s="371">
        <v>8</v>
      </c>
      <c r="J999" s="360"/>
      <c r="K999" s="361"/>
      <c r="L999" s="368" t="s">
        <v>3539</v>
      </c>
    </row>
    <row r="1000" spans="1:12" ht="15">
      <c r="A1000" s="102"/>
      <c r="B1000" s="105"/>
      <c r="C1000" s="105"/>
      <c r="D1000" s="321"/>
      <c r="E1000" s="396"/>
      <c r="F1000" s="105"/>
      <c r="G1000" s="321"/>
      <c r="H1000" s="104"/>
      <c r="I1000" s="417"/>
      <c r="J1000" s="108"/>
      <c r="K1000" s="106"/>
      <c r="L1000" s="321"/>
    </row>
    <row r="1001" spans="1:12">
      <c r="A1001" s="353"/>
      <c r="B1001" s="436" t="s">
        <v>14</v>
      </c>
      <c r="C1001" s="437" t="s">
        <v>86</v>
      </c>
      <c r="D1001" s="437"/>
      <c r="E1001" s="438"/>
      <c r="F1001" s="438"/>
      <c r="G1001" s="436"/>
      <c r="H1001" s="437"/>
      <c r="I1001" s="459">
        <v>1</v>
      </c>
      <c r="J1001" s="439"/>
      <c r="K1001" s="440"/>
      <c r="L1001" s="437" t="s">
        <v>3542</v>
      </c>
    </row>
    <row r="1002" spans="1:12">
      <c r="A1002" s="353"/>
      <c r="B1002" s="436"/>
      <c r="C1002" s="17"/>
      <c r="D1002" s="17" t="s">
        <v>3541</v>
      </c>
      <c r="E1002" s="359" t="s">
        <v>1311</v>
      </c>
      <c r="F1002" s="359"/>
      <c r="G1002" s="353"/>
      <c r="H1002" s="17" t="s">
        <v>3544</v>
      </c>
      <c r="I1002" s="434">
        <v>1</v>
      </c>
      <c r="J1002" s="360"/>
      <c r="K1002" s="361"/>
      <c r="L1002" s="17" t="s">
        <v>3543</v>
      </c>
    </row>
    <row r="1003" spans="1:12" ht="15">
      <c r="A1003" s="102"/>
      <c r="B1003" s="436"/>
      <c r="C1003" s="17"/>
      <c r="D1003" s="17" t="s">
        <v>3545</v>
      </c>
      <c r="E1003" s="359" t="s">
        <v>1311</v>
      </c>
      <c r="F1003" s="359"/>
      <c r="G1003" s="353"/>
      <c r="H1003" s="17"/>
      <c r="I1003" s="434">
        <v>1</v>
      </c>
      <c r="J1003" s="360"/>
      <c r="K1003" s="361"/>
      <c r="L1003" s="17" t="s">
        <v>3546</v>
      </c>
    </row>
    <row r="1004" spans="1:12" ht="15">
      <c r="A1004" s="102"/>
      <c r="B1004" s="436"/>
      <c r="C1004" s="17"/>
      <c r="D1004" s="17" t="s">
        <v>3547</v>
      </c>
      <c r="E1004" s="359" t="s">
        <v>1302</v>
      </c>
      <c r="F1004" s="359"/>
      <c r="G1004" s="353"/>
      <c r="H1004" s="17"/>
      <c r="I1004" s="434">
        <v>1</v>
      </c>
      <c r="J1004" s="360"/>
      <c r="K1004" s="361"/>
      <c r="L1004" s="17" t="s">
        <v>3548</v>
      </c>
    </row>
    <row r="1005" spans="1:12" ht="15">
      <c r="A1005" s="102"/>
      <c r="B1005" s="436"/>
      <c r="C1005" s="17"/>
      <c r="D1005" s="17"/>
      <c r="E1005" s="359"/>
      <c r="F1005" s="359" t="s">
        <v>1305</v>
      </c>
      <c r="G1005" s="353" t="s">
        <v>3549</v>
      </c>
      <c r="H1005" s="17" t="s">
        <v>3550</v>
      </c>
      <c r="I1005" s="434">
        <v>1</v>
      </c>
      <c r="J1005" s="360"/>
      <c r="K1005" s="361"/>
      <c r="L1005" s="17" t="s">
        <v>3551</v>
      </c>
    </row>
    <row r="1006" spans="1:12" ht="15">
      <c r="A1006" s="102"/>
      <c r="B1006" s="436"/>
      <c r="C1006" s="17"/>
      <c r="D1006" s="17"/>
      <c r="E1006" s="359"/>
      <c r="F1006" s="359" t="s">
        <v>1305</v>
      </c>
      <c r="G1006" s="353" t="s">
        <v>1007</v>
      </c>
      <c r="H1006" s="17" t="s">
        <v>3552</v>
      </c>
      <c r="I1006" s="434">
        <v>1</v>
      </c>
      <c r="J1006" s="360"/>
      <c r="K1006" s="361"/>
      <c r="L1006" s="17" t="s">
        <v>3553</v>
      </c>
    </row>
    <row r="1007" spans="1:12" ht="15">
      <c r="A1007" s="102"/>
      <c r="B1007" s="436"/>
      <c r="C1007" s="17"/>
      <c r="D1007" s="17"/>
      <c r="E1007" s="359"/>
      <c r="F1007" s="359" t="s">
        <v>1317</v>
      </c>
      <c r="G1007" s="353" t="s">
        <v>1207</v>
      </c>
      <c r="H1007" s="17" t="s">
        <v>3554</v>
      </c>
      <c r="I1007" s="434">
        <v>1</v>
      </c>
      <c r="J1007" s="360"/>
      <c r="K1007" s="361"/>
      <c r="L1007" s="17" t="s">
        <v>3555</v>
      </c>
    </row>
    <row r="1008" spans="1:12" ht="15">
      <c r="A1008" s="102"/>
      <c r="B1008" s="436"/>
      <c r="C1008" s="17"/>
      <c r="D1008" s="17"/>
      <c r="E1008" s="359"/>
      <c r="F1008" s="359" t="s">
        <v>1317</v>
      </c>
      <c r="G1008" s="353" t="s">
        <v>1227</v>
      </c>
      <c r="H1008" s="17"/>
      <c r="I1008" s="434">
        <v>1</v>
      </c>
      <c r="J1008" s="360"/>
      <c r="K1008" s="361"/>
      <c r="L1008" s="17" t="s">
        <v>3556</v>
      </c>
    </row>
    <row r="1009" spans="1:12" ht="15">
      <c r="A1009" s="102"/>
      <c r="B1009" s="436"/>
      <c r="C1009" s="17"/>
      <c r="D1009" s="17"/>
      <c r="E1009" s="359"/>
      <c r="F1009" s="359" t="s">
        <v>1317</v>
      </c>
      <c r="G1009" s="353" t="s">
        <v>3557</v>
      </c>
      <c r="H1009" s="17" t="s">
        <v>3554</v>
      </c>
      <c r="I1009" s="434">
        <v>1</v>
      </c>
      <c r="J1009" s="360"/>
      <c r="K1009" s="361"/>
      <c r="L1009" s="17" t="s">
        <v>3558</v>
      </c>
    </row>
    <row r="1010" spans="1:12" ht="15">
      <c r="A1010" s="102"/>
      <c r="B1010" s="436"/>
      <c r="C1010" s="17"/>
      <c r="D1010" s="17"/>
      <c r="E1010" s="359"/>
      <c r="F1010" s="359" t="s">
        <v>1317</v>
      </c>
      <c r="G1010" s="353" t="s">
        <v>1199</v>
      </c>
      <c r="H1010" s="17" t="s">
        <v>3510</v>
      </c>
      <c r="I1010" s="434">
        <v>1</v>
      </c>
      <c r="J1010" s="360"/>
      <c r="K1010" s="361"/>
      <c r="L1010" s="17" t="s">
        <v>3559</v>
      </c>
    </row>
    <row r="1011" spans="1:12" ht="15">
      <c r="A1011" s="102"/>
      <c r="B1011" s="436"/>
      <c r="C1011" s="17"/>
      <c r="D1011" s="17"/>
      <c r="E1011" s="359"/>
      <c r="F1011" s="359" t="s">
        <v>2117</v>
      </c>
      <c r="G1011" s="353" t="s">
        <v>3560</v>
      </c>
      <c r="H1011" s="17"/>
      <c r="I1011" s="434">
        <v>1</v>
      </c>
      <c r="J1011" s="360"/>
      <c r="K1011" s="361"/>
      <c r="L1011" s="17" t="s">
        <v>3561</v>
      </c>
    </row>
    <row r="1012" spans="1:12" ht="15">
      <c r="A1012" s="102"/>
      <c r="B1012" s="436"/>
      <c r="C1012" s="17"/>
      <c r="D1012" s="17" t="s">
        <v>3562</v>
      </c>
      <c r="E1012" s="359" t="s">
        <v>1311</v>
      </c>
      <c r="F1012" s="359"/>
      <c r="G1012" s="353"/>
      <c r="H1012" s="17"/>
      <c r="I1012" s="434">
        <v>1</v>
      </c>
      <c r="J1012" s="360"/>
      <c r="K1012" s="361"/>
      <c r="L1012" s="17" t="s">
        <v>3563</v>
      </c>
    </row>
    <row r="1013" spans="1:12" ht="15">
      <c r="A1013" s="102"/>
      <c r="B1013" s="105"/>
      <c r="C1013" s="105"/>
      <c r="D1013" s="321"/>
      <c r="E1013" s="396"/>
      <c r="F1013" s="105"/>
      <c r="G1013" s="321"/>
      <c r="H1013" s="104"/>
      <c r="I1013" s="417"/>
      <c r="J1013" s="108"/>
      <c r="K1013" s="106"/>
      <c r="L1013" s="321"/>
    </row>
    <row r="1014" spans="1:12">
      <c r="A1014" s="353"/>
      <c r="B1014" s="436" t="s">
        <v>14</v>
      </c>
      <c r="C1014" s="437" t="s">
        <v>89</v>
      </c>
      <c r="D1014" s="437"/>
      <c r="E1014" s="438"/>
      <c r="F1014" s="438"/>
      <c r="G1014" s="436"/>
      <c r="H1014" s="437"/>
      <c r="I1014" s="459">
        <v>1</v>
      </c>
      <c r="J1014" s="439"/>
      <c r="K1014" s="440"/>
      <c r="L1014" s="437" t="s">
        <v>3566</v>
      </c>
    </row>
    <row r="1015" spans="1:12">
      <c r="A1015" s="353"/>
      <c r="B1015" s="436"/>
      <c r="C1015" s="17"/>
      <c r="D1015" s="17" t="s">
        <v>3564</v>
      </c>
      <c r="E1015" s="359" t="s">
        <v>1311</v>
      </c>
      <c r="F1015" s="359"/>
      <c r="G1015" s="353"/>
      <c r="H1015" s="17" t="s">
        <v>3565</v>
      </c>
      <c r="I1015" s="434">
        <v>1</v>
      </c>
      <c r="J1015" s="360"/>
      <c r="K1015" s="361"/>
      <c r="L1015" s="17" t="s">
        <v>3567</v>
      </c>
    </row>
    <row r="1016" spans="1:12" ht="29.25">
      <c r="A1016" s="102"/>
      <c r="B1016" s="436"/>
      <c r="C1016" s="17"/>
      <c r="D1016" s="364" t="s">
        <v>3575</v>
      </c>
      <c r="E1016" s="359" t="s">
        <v>1302</v>
      </c>
      <c r="F1016" s="359"/>
      <c r="G1016" s="353"/>
      <c r="H1016" s="17" t="s">
        <v>3510</v>
      </c>
      <c r="I1016" s="434">
        <v>1</v>
      </c>
      <c r="J1016" s="360"/>
      <c r="K1016" s="361"/>
      <c r="L1016" s="17" t="s">
        <v>3568</v>
      </c>
    </row>
    <row r="1017" spans="1:12" ht="15">
      <c r="A1017" s="102"/>
      <c r="B1017" s="436"/>
      <c r="C1017" s="17"/>
      <c r="D1017" s="17" t="s">
        <v>3569</v>
      </c>
      <c r="E1017" s="359" t="s">
        <v>1311</v>
      </c>
      <c r="F1017" s="359"/>
      <c r="G1017" s="353"/>
      <c r="H1017" s="17" t="s">
        <v>3570</v>
      </c>
      <c r="I1017" s="434">
        <v>5</v>
      </c>
      <c r="J1017" s="360"/>
      <c r="K1017" s="361"/>
      <c r="L1017" s="17" t="s">
        <v>3571</v>
      </c>
    </row>
    <row r="1018" spans="1:12" ht="29.25">
      <c r="A1018" s="102"/>
      <c r="B1018" s="436"/>
      <c r="C1018" s="17"/>
      <c r="D1018" s="364" t="s">
        <v>3576</v>
      </c>
      <c r="E1018" s="359" t="s">
        <v>1311</v>
      </c>
      <c r="F1018" s="359"/>
      <c r="G1018" s="353"/>
      <c r="H1018" s="17"/>
      <c r="I1018" s="434">
        <v>1</v>
      </c>
      <c r="J1018" s="360"/>
      <c r="K1018" s="361"/>
      <c r="L1018" s="17" t="s">
        <v>3572</v>
      </c>
    </row>
    <row r="1019" spans="1:12" ht="29.25">
      <c r="A1019" s="102"/>
      <c r="B1019" s="436"/>
      <c r="C1019" s="17"/>
      <c r="D1019" s="364" t="s">
        <v>3577</v>
      </c>
      <c r="E1019" s="359" t="s">
        <v>1302</v>
      </c>
      <c r="F1019" s="359"/>
      <c r="G1019" s="353"/>
      <c r="H1019" s="17"/>
      <c r="I1019" s="434">
        <v>1</v>
      </c>
      <c r="J1019" s="360"/>
      <c r="K1019" s="361"/>
      <c r="L1019" s="17" t="s">
        <v>3573</v>
      </c>
    </row>
    <row r="1020" spans="1:12" ht="15">
      <c r="A1020" s="102"/>
      <c r="B1020" s="436"/>
      <c r="C1020" s="17"/>
      <c r="D1020" s="17"/>
      <c r="E1020" s="359"/>
      <c r="F1020" s="359" t="s">
        <v>1305</v>
      </c>
      <c r="G1020" s="353" t="s">
        <v>999</v>
      </c>
      <c r="H1020" s="17"/>
      <c r="I1020" s="434">
        <v>1</v>
      </c>
      <c r="J1020" s="360"/>
      <c r="K1020" s="361"/>
      <c r="L1020" s="17" t="s">
        <v>3574</v>
      </c>
    </row>
    <row r="1021" spans="1:12" ht="15">
      <c r="A1021" s="102"/>
      <c r="B1021" s="436"/>
      <c r="C1021" s="17"/>
      <c r="D1021" s="17"/>
      <c r="E1021" s="359"/>
      <c r="F1021" s="359" t="s">
        <v>1317</v>
      </c>
      <c r="G1021" s="353" t="s">
        <v>1199</v>
      </c>
      <c r="H1021" s="17" t="s">
        <v>3578</v>
      </c>
      <c r="I1021" s="434">
        <v>1</v>
      </c>
      <c r="J1021" s="360"/>
      <c r="K1021" s="361"/>
      <c r="L1021" s="17" t="s">
        <v>3579</v>
      </c>
    </row>
    <row r="1022" spans="1:12" ht="15">
      <c r="A1022" s="102"/>
      <c r="B1022" s="436"/>
      <c r="C1022" s="17"/>
      <c r="D1022" s="17" t="s">
        <v>3580</v>
      </c>
      <c r="E1022" s="359" t="s">
        <v>1311</v>
      </c>
      <c r="F1022" s="359"/>
      <c r="G1022" s="353"/>
      <c r="H1022" s="17" t="s">
        <v>3581</v>
      </c>
      <c r="I1022" s="434">
        <v>1</v>
      </c>
      <c r="J1022" s="360"/>
      <c r="K1022" s="361"/>
      <c r="L1022" s="17" t="s">
        <v>3582</v>
      </c>
    </row>
    <row r="1023" spans="1:12" ht="29.25">
      <c r="A1023" s="102"/>
      <c r="B1023" s="436"/>
      <c r="C1023" s="17"/>
      <c r="D1023" s="364" t="s">
        <v>3584</v>
      </c>
      <c r="E1023" s="359" t="s">
        <v>1311</v>
      </c>
      <c r="F1023" s="359"/>
      <c r="G1023" s="353"/>
      <c r="H1023" s="17"/>
      <c r="I1023" s="434">
        <v>1</v>
      </c>
      <c r="J1023" s="360"/>
      <c r="K1023" s="361"/>
      <c r="L1023" s="17" t="s">
        <v>3583</v>
      </c>
    </row>
    <row r="1024" spans="1:12" ht="15">
      <c r="A1024" s="102"/>
      <c r="B1024" s="436"/>
      <c r="C1024" s="17"/>
      <c r="D1024" s="364" t="s">
        <v>1502</v>
      </c>
      <c r="E1024" s="359" t="s">
        <v>1311</v>
      </c>
      <c r="F1024" s="359"/>
      <c r="G1024" s="353"/>
      <c r="H1024" s="17" t="s">
        <v>3585</v>
      </c>
      <c r="I1024" s="434">
        <v>1</v>
      </c>
      <c r="J1024" s="360"/>
      <c r="K1024" s="361"/>
      <c r="L1024" s="17" t="s">
        <v>3586</v>
      </c>
    </row>
    <row r="1025" spans="1:12" ht="15">
      <c r="A1025" s="102"/>
      <c r="B1025" s="436"/>
      <c r="C1025" s="17"/>
      <c r="D1025" s="364" t="s">
        <v>3587</v>
      </c>
      <c r="E1025" s="359" t="s">
        <v>1302</v>
      </c>
      <c r="F1025" s="359"/>
      <c r="G1025" s="353"/>
      <c r="H1025" s="17"/>
      <c r="I1025" s="434">
        <v>1</v>
      </c>
      <c r="J1025" s="360"/>
      <c r="K1025" s="361"/>
      <c r="L1025" s="17" t="s">
        <v>3588</v>
      </c>
    </row>
    <row r="1026" spans="1:12" ht="15">
      <c r="A1026" s="102"/>
      <c r="B1026" s="436"/>
      <c r="C1026" s="17"/>
      <c r="D1026" s="364"/>
      <c r="E1026" s="359"/>
      <c r="F1026" s="359" t="s">
        <v>1305</v>
      </c>
      <c r="G1026" s="353" t="s">
        <v>999</v>
      </c>
      <c r="H1026" s="17"/>
      <c r="I1026" s="434">
        <v>1</v>
      </c>
      <c r="J1026" s="360"/>
      <c r="K1026" s="361"/>
      <c r="L1026" s="17" t="s">
        <v>3589</v>
      </c>
    </row>
    <row r="1027" spans="1:12" ht="15">
      <c r="A1027" s="102"/>
      <c r="B1027" s="436"/>
      <c r="C1027" s="17"/>
      <c r="D1027" s="364"/>
      <c r="E1027" s="359"/>
      <c r="F1027" s="359" t="s">
        <v>1317</v>
      </c>
      <c r="G1027" s="353" t="s">
        <v>3590</v>
      </c>
      <c r="H1027" s="17"/>
      <c r="I1027" s="434">
        <v>358</v>
      </c>
      <c r="J1027" s="360"/>
      <c r="K1027" s="361"/>
      <c r="L1027" s="17" t="s">
        <v>3591</v>
      </c>
    </row>
    <row r="1028" spans="1:12" ht="15">
      <c r="A1028" s="102"/>
      <c r="B1028" s="436"/>
      <c r="C1028" s="17"/>
      <c r="D1028" s="364"/>
      <c r="E1028" s="359"/>
      <c r="F1028" s="359" t="s">
        <v>1317</v>
      </c>
      <c r="G1028" s="353" t="s">
        <v>3592</v>
      </c>
      <c r="H1028" s="17" t="s">
        <v>3593</v>
      </c>
      <c r="I1028" s="434">
        <v>26</v>
      </c>
      <c r="J1028" s="360"/>
      <c r="K1028" s="361"/>
      <c r="L1028" s="17" t="s">
        <v>3594</v>
      </c>
    </row>
    <row r="1029" spans="1:12" ht="15">
      <c r="A1029" s="102"/>
      <c r="B1029" s="436"/>
      <c r="C1029" s="17"/>
      <c r="D1029" s="364" t="s">
        <v>3595</v>
      </c>
      <c r="E1029" s="359" t="s">
        <v>1311</v>
      </c>
      <c r="F1029" s="359"/>
      <c r="G1029" s="353"/>
      <c r="H1029" s="17"/>
      <c r="I1029" s="434">
        <v>4</v>
      </c>
      <c r="J1029" s="360"/>
      <c r="K1029" s="361"/>
      <c r="L1029" s="17" t="s">
        <v>3596</v>
      </c>
    </row>
    <row r="1030" spans="1:12" ht="15">
      <c r="A1030" s="102"/>
      <c r="B1030" s="436"/>
      <c r="C1030" s="17"/>
      <c r="D1030" s="364" t="s">
        <v>3597</v>
      </c>
      <c r="E1030" s="359" t="s">
        <v>1302</v>
      </c>
      <c r="F1030" s="359"/>
      <c r="G1030" s="353"/>
      <c r="H1030" s="17"/>
      <c r="I1030" s="434">
        <v>1</v>
      </c>
      <c r="J1030" s="360"/>
      <c r="K1030" s="361"/>
      <c r="L1030" s="17" t="s">
        <v>3598</v>
      </c>
    </row>
    <row r="1031" spans="1:12" ht="15">
      <c r="A1031" s="102"/>
      <c r="B1031" s="436"/>
      <c r="C1031" s="17"/>
      <c r="D1031" s="364"/>
      <c r="E1031" s="359"/>
      <c r="F1031" s="359" t="s">
        <v>2117</v>
      </c>
      <c r="G1031" s="353" t="s">
        <v>3560</v>
      </c>
      <c r="H1031" s="17"/>
      <c r="I1031" s="434">
        <v>1</v>
      </c>
      <c r="J1031" s="360"/>
      <c r="K1031" s="361"/>
      <c r="L1031" s="17" t="s">
        <v>3599</v>
      </c>
    </row>
    <row r="1032" spans="1:12" ht="15">
      <c r="A1032" s="102"/>
      <c r="B1032" s="436"/>
      <c r="C1032" s="17"/>
      <c r="D1032" s="364"/>
      <c r="E1032" s="359"/>
      <c r="F1032" s="359" t="s">
        <v>1317</v>
      </c>
      <c r="G1032" s="353" t="s">
        <v>1199</v>
      </c>
      <c r="H1032" s="17" t="s">
        <v>3600</v>
      </c>
      <c r="I1032" s="434">
        <v>1</v>
      </c>
      <c r="J1032" s="360"/>
      <c r="K1032" s="361"/>
      <c r="L1032" s="17" t="s">
        <v>3601</v>
      </c>
    </row>
    <row r="1033" spans="1:12" ht="15">
      <c r="A1033" s="102"/>
      <c r="B1033" s="436"/>
      <c r="C1033" s="17"/>
      <c r="D1033" s="364" t="s">
        <v>3562</v>
      </c>
      <c r="E1033" s="359" t="s">
        <v>1311</v>
      </c>
      <c r="F1033" s="359"/>
      <c r="G1033" s="353"/>
      <c r="H1033" s="17" t="s">
        <v>3538</v>
      </c>
      <c r="I1033" s="434">
        <v>30</v>
      </c>
      <c r="J1033" s="360"/>
      <c r="K1033" s="361"/>
      <c r="L1033" s="17" t="s">
        <v>3602</v>
      </c>
    </row>
    <row r="1034" spans="1:12" ht="15">
      <c r="A1034" s="102"/>
      <c r="B1034" s="436"/>
      <c r="C1034" s="17"/>
      <c r="D1034" s="364" t="s">
        <v>3526</v>
      </c>
      <c r="E1034" s="359" t="s">
        <v>1311</v>
      </c>
      <c r="F1034" s="359"/>
      <c r="G1034" s="353"/>
      <c r="H1034" s="17"/>
      <c r="I1034" s="434">
        <v>38</v>
      </c>
      <c r="J1034" s="360"/>
      <c r="K1034" s="361"/>
      <c r="L1034" s="17" t="s">
        <v>3603</v>
      </c>
    </row>
    <row r="1035" spans="1:12" ht="15">
      <c r="A1035" s="102"/>
      <c r="B1035" s="436"/>
      <c r="C1035" s="17"/>
      <c r="D1035" s="364" t="s">
        <v>3604</v>
      </c>
      <c r="E1035" s="359" t="s">
        <v>1311</v>
      </c>
      <c r="F1035" s="359"/>
      <c r="G1035" s="353"/>
      <c r="H1035" s="17" t="s">
        <v>3605</v>
      </c>
      <c r="I1035" s="434">
        <v>1</v>
      </c>
      <c r="J1035" s="360"/>
      <c r="K1035" s="361"/>
      <c r="L1035" s="17" t="s">
        <v>3606</v>
      </c>
    </row>
    <row r="1036" spans="1:12" ht="29.25">
      <c r="A1036" s="102"/>
      <c r="B1036" s="436"/>
      <c r="C1036" s="17"/>
      <c r="D1036" s="364" t="s">
        <v>3608</v>
      </c>
      <c r="E1036" s="359" t="s">
        <v>1311</v>
      </c>
      <c r="F1036" s="359"/>
      <c r="G1036" s="353"/>
      <c r="H1036" s="17"/>
      <c r="I1036" s="434">
        <v>1</v>
      </c>
      <c r="J1036" s="360"/>
      <c r="K1036" s="361"/>
      <c r="L1036" s="17" t="s">
        <v>3607</v>
      </c>
    </row>
    <row r="1037" spans="1:12" ht="29.25">
      <c r="A1037" s="102"/>
      <c r="B1037" s="436"/>
      <c r="C1037" s="17"/>
      <c r="D1037" s="364" t="s">
        <v>3609</v>
      </c>
      <c r="E1037" s="359" t="s">
        <v>1311</v>
      </c>
      <c r="F1037" s="359"/>
      <c r="G1037" s="353"/>
      <c r="H1037" s="364" t="s">
        <v>3611</v>
      </c>
      <c r="I1037" s="434">
        <v>2</v>
      </c>
      <c r="J1037" s="360"/>
      <c r="K1037" s="361"/>
      <c r="L1037" s="17" t="s">
        <v>3610</v>
      </c>
    </row>
    <row r="1038" spans="1:12" ht="15">
      <c r="A1038" s="102"/>
      <c r="B1038" s="436"/>
      <c r="C1038" s="17"/>
      <c r="D1038" s="364" t="s">
        <v>3612</v>
      </c>
      <c r="E1038" s="359" t="s">
        <v>1311</v>
      </c>
      <c r="F1038" s="359"/>
      <c r="G1038" s="353"/>
      <c r="H1038" s="364"/>
      <c r="I1038" s="434">
        <v>1</v>
      </c>
      <c r="J1038" s="360"/>
      <c r="K1038" s="361"/>
      <c r="L1038" s="17" t="s">
        <v>3613</v>
      </c>
    </row>
    <row r="1039" spans="1:12" ht="15">
      <c r="A1039" s="102"/>
      <c r="B1039" s="436"/>
      <c r="C1039" s="17"/>
      <c r="D1039" s="364" t="s">
        <v>3614</v>
      </c>
      <c r="E1039" s="359" t="s">
        <v>1311</v>
      </c>
      <c r="F1039" s="359"/>
      <c r="G1039" s="353"/>
      <c r="H1039" s="364"/>
      <c r="I1039" s="434">
        <v>4</v>
      </c>
      <c r="J1039" s="360"/>
      <c r="K1039" s="361"/>
      <c r="L1039" s="17" t="s">
        <v>3615</v>
      </c>
    </row>
    <row r="1040" spans="1:12" ht="15">
      <c r="A1040" s="102"/>
      <c r="B1040" s="436"/>
      <c r="C1040" s="17"/>
      <c r="D1040" s="364" t="s">
        <v>3616</v>
      </c>
      <c r="E1040" s="359" t="s">
        <v>1311</v>
      </c>
      <c r="F1040" s="359"/>
      <c r="G1040" s="353"/>
      <c r="H1040" s="364"/>
      <c r="I1040" s="434">
        <v>6</v>
      </c>
      <c r="J1040" s="360"/>
      <c r="K1040" s="361"/>
      <c r="L1040" s="17" t="s">
        <v>3617</v>
      </c>
    </row>
    <row r="1041" spans="1:12" ht="15">
      <c r="A1041" s="102"/>
      <c r="B1041" s="436"/>
      <c r="C1041" s="17"/>
      <c r="D1041" s="364" t="s">
        <v>3618</v>
      </c>
      <c r="E1041" s="359" t="s">
        <v>1311</v>
      </c>
      <c r="F1041" s="359"/>
      <c r="G1041" s="353"/>
      <c r="H1041" s="364"/>
      <c r="I1041" s="434">
        <v>1</v>
      </c>
      <c r="J1041" s="360"/>
      <c r="K1041" s="361"/>
      <c r="L1041" s="17" t="s">
        <v>3619</v>
      </c>
    </row>
    <row r="1042" spans="1:12" ht="15">
      <c r="A1042" s="102"/>
      <c r="B1042" s="436"/>
      <c r="C1042" s="17"/>
      <c r="D1042" s="364" t="s">
        <v>3620</v>
      </c>
      <c r="E1042" s="359" t="s">
        <v>1311</v>
      </c>
      <c r="F1042" s="359"/>
      <c r="G1042" s="353"/>
      <c r="H1042" s="364"/>
      <c r="I1042" s="434">
        <v>1</v>
      </c>
      <c r="J1042" s="360"/>
      <c r="K1042" s="361"/>
      <c r="L1042" s="17" t="s">
        <v>3621</v>
      </c>
    </row>
    <row r="1043" spans="1:12" ht="15">
      <c r="A1043" s="102"/>
      <c r="B1043" s="105"/>
      <c r="C1043" s="105"/>
      <c r="D1043" s="321"/>
      <c r="E1043" s="396"/>
      <c r="F1043" s="105"/>
      <c r="G1043" s="321"/>
      <c r="H1043" s="104"/>
      <c r="I1043" s="417"/>
      <c r="J1043" s="108"/>
      <c r="K1043" s="106"/>
      <c r="L1043" s="321"/>
    </row>
    <row r="1044" spans="1:12">
      <c r="A1044" s="353"/>
      <c r="B1044" s="436" t="s">
        <v>14</v>
      </c>
      <c r="C1044" s="437" t="s">
        <v>3622</v>
      </c>
      <c r="D1044" s="437"/>
      <c r="E1044" s="438"/>
      <c r="F1044" s="438"/>
      <c r="G1044" s="436"/>
      <c r="H1044" s="437"/>
      <c r="I1044" s="459">
        <v>1</v>
      </c>
      <c r="J1044" s="439"/>
      <c r="K1044" s="440"/>
      <c r="L1044" s="437" t="s">
        <v>3624</v>
      </c>
    </row>
    <row r="1045" spans="1:12">
      <c r="A1045" s="353"/>
      <c r="B1045" s="436"/>
      <c r="C1045" s="17"/>
      <c r="D1045" s="17" t="s">
        <v>3535</v>
      </c>
      <c r="E1045" s="359" t="s">
        <v>1302</v>
      </c>
      <c r="F1045" s="359"/>
      <c r="G1045" s="353"/>
      <c r="H1045" s="17" t="s">
        <v>3623</v>
      </c>
      <c r="I1045" s="434">
        <v>1</v>
      </c>
      <c r="J1045" s="360"/>
      <c r="K1045" s="361"/>
      <c r="L1045" s="17" t="s">
        <v>3625</v>
      </c>
    </row>
    <row r="1046" spans="1:12" ht="15">
      <c r="A1046" s="102"/>
      <c r="B1046" s="436"/>
      <c r="C1046" s="17"/>
      <c r="D1046" s="17" t="s">
        <v>3597</v>
      </c>
      <c r="E1046" s="359" t="s">
        <v>1311</v>
      </c>
      <c r="F1046" s="359"/>
      <c r="G1046" s="353"/>
      <c r="H1046" s="17" t="s">
        <v>3626</v>
      </c>
      <c r="I1046" s="434">
        <v>234</v>
      </c>
      <c r="J1046" s="360"/>
      <c r="K1046" s="361"/>
      <c r="L1046" s="17" t="s">
        <v>3627</v>
      </c>
    </row>
    <row r="1047" spans="1:12" ht="29.25">
      <c r="A1047" s="102"/>
      <c r="B1047" s="436"/>
      <c r="C1047" s="17"/>
      <c r="D1047" s="364" t="s">
        <v>3629</v>
      </c>
      <c r="E1047" s="359" t="s">
        <v>1302</v>
      </c>
      <c r="F1047" s="359"/>
      <c r="G1047" s="353"/>
      <c r="H1047" s="17"/>
      <c r="I1047" s="434">
        <v>1</v>
      </c>
      <c r="J1047" s="360"/>
      <c r="K1047" s="361"/>
      <c r="L1047" s="17" t="s">
        <v>3628</v>
      </c>
    </row>
    <row r="1048" spans="1:12" ht="15">
      <c r="A1048" s="102"/>
      <c r="B1048" s="436"/>
      <c r="C1048" s="17"/>
      <c r="D1048" s="364"/>
      <c r="E1048" s="359"/>
      <c r="F1048" s="359" t="s">
        <v>1317</v>
      </c>
      <c r="G1048" s="353" t="s">
        <v>3630</v>
      </c>
      <c r="H1048" s="17" t="s">
        <v>3631</v>
      </c>
      <c r="I1048" s="434">
        <v>234</v>
      </c>
      <c r="J1048" s="360"/>
      <c r="K1048" s="361"/>
      <c r="L1048" s="17" t="s">
        <v>3632</v>
      </c>
    </row>
    <row r="1049" spans="1:12" ht="15">
      <c r="A1049" s="102"/>
      <c r="B1049" s="436"/>
      <c r="C1049" s="17"/>
      <c r="D1049" s="364"/>
      <c r="E1049" s="359"/>
      <c r="F1049" s="359" t="s">
        <v>1317</v>
      </c>
      <c r="G1049" s="353" t="s">
        <v>3633</v>
      </c>
      <c r="H1049" s="17"/>
      <c r="I1049" s="434">
        <v>234</v>
      </c>
      <c r="J1049" s="360"/>
      <c r="K1049" s="361"/>
      <c r="L1049" s="17" t="s">
        <v>3634</v>
      </c>
    </row>
    <row r="1050" spans="1:12" ht="15">
      <c r="A1050" s="102"/>
      <c r="B1050" s="436"/>
      <c r="C1050" s="17"/>
      <c r="D1050" s="364"/>
      <c r="E1050" s="359"/>
      <c r="F1050" s="359" t="s">
        <v>2117</v>
      </c>
      <c r="G1050" s="353" t="s">
        <v>3560</v>
      </c>
      <c r="H1050" s="17"/>
      <c r="I1050" s="434">
        <v>234</v>
      </c>
      <c r="J1050" s="360"/>
      <c r="K1050" s="361"/>
      <c r="L1050" s="17" t="s">
        <v>3635</v>
      </c>
    </row>
    <row r="1051" spans="1:12" ht="15">
      <c r="A1051" s="102"/>
      <c r="B1051" s="436"/>
      <c r="C1051" s="17"/>
      <c r="D1051" s="364" t="s">
        <v>3636</v>
      </c>
      <c r="E1051" s="359" t="s">
        <v>1302</v>
      </c>
      <c r="F1051" s="359"/>
      <c r="G1051" s="353"/>
      <c r="H1051" s="17"/>
      <c r="I1051" s="434">
        <v>1</v>
      </c>
      <c r="J1051" s="360"/>
      <c r="K1051" s="361"/>
      <c r="L1051" s="17" t="s">
        <v>3637</v>
      </c>
    </row>
    <row r="1052" spans="1:12" ht="15">
      <c r="A1052" s="102"/>
      <c r="B1052" s="436"/>
      <c r="C1052" s="17"/>
      <c r="D1052" s="364"/>
      <c r="E1052" s="359"/>
      <c r="F1052" s="359" t="s">
        <v>1305</v>
      </c>
      <c r="G1052" s="353" t="s">
        <v>3549</v>
      </c>
      <c r="H1052" s="17" t="s">
        <v>3638</v>
      </c>
      <c r="I1052" s="434">
        <v>1</v>
      </c>
      <c r="J1052" s="360"/>
      <c r="K1052" s="361"/>
      <c r="L1052" s="17" t="s">
        <v>3639</v>
      </c>
    </row>
    <row r="1053" spans="1:12" ht="15">
      <c r="A1053" s="102"/>
      <c r="B1053" s="436"/>
      <c r="C1053" s="17"/>
      <c r="D1053" s="364"/>
      <c r="E1053" s="359"/>
      <c r="F1053" s="359" t="s">
        <v>2117</v>
      </c>
      <c r="G1053" s="353" t="s">
        <v>3640</v>
      </c>
      <c r="H1053" s="17"/>
      <c r="I1053" s="434">
        <v>117</v>
      </c>
      <c r="J1053" s="360"/>
      <c r="K1053" s="361"/>
      <c r="L1053" s="17" t="s">
        <v>3641</v>
      </c>
    </row>
    <row r="1054" spans="1:12" ht="15">
      <c r="A1054" s="102"/>
      <c r="B1054" s="436"/>
      <c r="C1054" s="17"/>
      <c r="D1054" s="364"/>
      <c r="E1054" s="359"/>
      <c r="F1054" s="359" t="s">
        <v>2117</v>
      </c>
      <c r="G1054" s="353" t="s">
        <v>3642</v>
      </c>
      <c r="H1054" s="17"/>
      <c r="I1054" s="434">
        <v>234</v>
      </c>
      <c r="J1054" s="360"/>
      <c r="K1054" s="361"/>
      <c r="L1054" s="17" t="s">
        <v>3643</v>
      </c>
    </row>
    <row r="1055" spans="1:12" ht="15">
      <c r="A1055" s="102"/>
      <c r="B1055" s="105"/>
      <c r="C1055" s="105"/>
      <c r="D1055" s="321"/>
      <c r="E1055" s="396"/>
      <c r="F1055" s="105"/>
      <c r="G1055" s="321"/>
      <c r="H1055" s="104"/>
      <c r="I1055" s="417"/>
      <c r="J1055" s="108"/>
      <c r="K1055" s="106"/>
      <c r="L1055" s="321"/>
    </row>
    <row r="1056" spans="1:12">
      <c r="A1056" s="353"/>
      <c r="B1056" s="436" t="s">
        <v>14</v>
      </c>
      <c r="C1056" s="437" t="s">
        <v>3644</v>
      </c>
      <c r="D1056" s="437"/>
      <c r="E1056" s="438"/>
      <c r="F1056" s="438"/>
      <c r="G1056" s="436"/>
      <c r="H1056" s="437"/>
      <c r="I1056" s="459">
        <v>1</v>
      </c>
      <c r="J1056" s="439"/>
      <c r="K1056" s="440"/>
      <c r="L1056" s="437" t="s">
        <v>3646</v>
      </c>
    </row>
    <row r="1057" spans="1:12">
      <c r="A1057" s="353"/>
      <c r="B1057" s="436"/>
      <c r="C1057" s="17"/>
      <c r="D1057" s="17" t="s">
        <v>3645</v>
      </c>
      <c r="E1057" s="359" t="s">
        <v>1311</v>
      </c>
      <c r="F1057" s="359" t="s">
        <v>1317</v>
      </c>
      <c r="G1057" s="353" t="s">
        <v>1199</v>
      </c>
      <c r="H1057" s="17" t="s">
        <v>3510</v>
      </c>
      <c r="I1057" s="434">
        <v>1</v>
      </c>
      <c r="J1057" s="360"/>
      <c r="K1057" s="361"/>
      <c r="L1057" s="17" t="s">
        <v>3647</v>
      </c>
    </row>
    <row r="1058" spans="1:12" ht="15">
      <c r="A1058" s="102"/>
      <c r="B1058" s="436"/>
      <c r="C1058" s="17"/>
      <c r="D1058" s="17" t="s">
        <v>3648</v>
      </c>
      <c r="E1058" s="359" t="s">
        <v>1311</v>
      </c>
      <c r="F1058" s="359" t="s">
        <v>1317</v>
      </c>
      <c r="G1058" s="353" t="s">
        <v>1199</v>
      </c>
      <c r="H1058" s="17" t="s">
        <v>3510</v>
      </c>
      <c r="I1058" s="434">
        <v>1</v>
      </c>
      <c r="J1058" s="360"/>
      <c r="K1058" s="361"/>
      <c r="L1058" s="17" t="s">
        <v>3649</v>
      </c>
    </row>
    <row r="1059" spans="1:12" ht="15">
      <c r="A1059" s="102"/>
      <c r="B1059" s="105"/>
      <c r="C1059" s="105"/>
      <c r="D1059" s="321"/>
      <c r="E1059" s="396"/>
      <c r="F1059" s="105"/>
      <c r="G1059" s="321"/>
      <c r="H1059" s="104"/>
      <c r="I1059" s="417"/>
      <c r="J1059" s="108"/>
      <c r="K1059" s="106"/>
      <c r="L1059" s="321"/>
    </row>
    <row r="1060" spans="1:12" ht="18">
      <c r="A1060" s="158" t="s">
        <v>35</v>
      </c>
      <c r="B1060" s="105"/>
      <c r="C1060" s="105"/>
      <c r="D1060" s="321"/>
      <c r="E1060" s="396"/>
      <c r="F1060" s="105"/>
      <c r="G1060" s="321"/>
      <c r="H1060" s="178" t="s">
        <v>1247</v>
      </c>
      <c r="I1060" s="422">
        <v>1</v>
      </c>
      <c r="J1060" s="180">
        <v>0</v>
      </c>
      <c r="K1060" s="181">
        <f>J1060*I1060</f>
        <v>0</v>
      </c>
      <c r="L1060" s="321"/>
    </row>
    <row r="1061" spans="1:12" ht="15">
      <c r="B1061" s="182"/>
      <c r="C1061" s="182"/>
      <c r="D1061" s="328"/>
      <c r="E1061" s="403"/>
      <c r="F1061" s="182"/>
      <c r="G1061" s="328"/>
      <c r="H1061" s="183"/>
      <c r="I1061" s="423"/>
      <c r="J1061" s="184"/>
      <c r="K1061" s="185"/>
      <c r="L1061" s="328"/>
    </row>
    <row r="1062" spans="1:12">
      <c r="A1062" s="290"/>
      <c r="B1062" s="342" t="s">
        <v>15</v>
      </c>
      <c r="C1062" s="343" t="s">
        <v>103</v>
      </c>
      <c r="D1062" s="343"/>
      <c r="E1062" s="404"/>
      <c r="F1062" s="344"/>
      <c r="G1062" s="342"/>
      <c r="H1062" s="343"/>
      <c r="I1062" s="424">
        <v>1</v>
      </c>
      <c r="J1062" s="345"/>
      <c r="K1062" s="346"/>
      <c r="L1062" s="448" t="s">
        <v>1704</v>
      </c>
    </row>
    <row r="1063" spans="1:12">
      <c r="A1063" s="290"/>
      <c r="B1063" s="342"/>
      <c r="C1063" s="296"/>
      <c r="D1063" s="296" t="s">
        <v>1707</v>
      </c>
      <c r="E1063" s="303" t="s">
        <v>1302</v>
      </c>
      <c r="F1063" s="297"/>
      <c r="G1063" s="298"/>
      <c r="H1063" s="296"/>
      <c r="I1063" s="309">
        <v>1</v>
      </c>
      <c r="J1063" s="299"/>
      <c r="K1063" s="300"/>
      <c r="L1063" s="301" t="s">
        <v>1705</v>
      </c>
    </row>
    <row r="1064" spans="1:12">
      <c r="A1064" s="290"/>
      <c r="B1064" s="342"/>
      <c r="C1064" s="296"/>
      <c r="D1064" s="296"/>
      <c r="E1064" s="303"/>
      <c r="F1064" s="297" t="s">
        <v>1305</v>
      </c>
      <c r="G1064" s="298" t="s">
        <v>1007</v>
      </c>
      <c r="H1064" s="296" t="s">
        <v>1714</v>
      </c>
      <c r="I1064" s="309">
        <v>1</v>
      </c>
      <c r="J1064" s="299"/>
      <c r="K1064" s="300"/>
      <c r="L1064" s="301" t="s">
        <v>1709</v>
      </c>
    </row>
    <row r="1065" spans="1:12">
      <c r="A1065" s="290"/>
      <c r="B1065" s="342"/>
      <c r="C1065" s="296"/>
      <c r="D1065" s="296"/>
      <c r="E1065" s="303"/>
      <c r="F1065" s="297" t="s">
        <v>1317</v>
      </c>
      <c r="G1065" s="298" t="s">
        <v>1156</v>
      </c>
      <c r="H1065" s="296"/>
      <c r="I1065" s="309">
        <v>1</v>
      </c>
      <c r="J1065" s="299"/>
      <c r="K1065" s="300"/>
      <c r="L1065" s="301" t="s">
        <v>1710</v>
      </c>
    </row>
    <row r="1066" spans="1:12">
      <c r="A1066" s="290"/>
      <c r="B1066" s="342"/>
      <c r="C1066" s="296"/>
      <c r="D1066" s="296"/>
      <c r="E1066" s="303"/>
      <c r="F1066" s="297" t="s">
        <v>1317</v>
      </c>
      <c r="G1066" s="298" t="s">
        <v>1711</v>
      </c>
      <c r="H1066" s="296"/>
      <c r="I1066" s="309">
        <v>2</v>
      </c>
      <c r="J1066" s="299"/>
      <c r="K1066" s="300"/>
      <c r="L1066" s="301" t="s">
        <v>1712</v>
      </c>
    </row>
    <row r="1067" spans="1:12">
      <c r="B1067" s="342"/>
      <c r="C1067" s="296"/>
      <c r="D1067" s="296" t="s">
        <v>1708</v>
      </c>
      <c r="E1067" s="303" t="s">
        <v>1302</v>
      </c>
      <c r="F1067" s="297"/>
      <c r="G1067" s="298"/>
      <c r="H1067" s="296"/>
      <c r="I1067" s="309">
        <v>1</v>
      </c>
      <c r="J1067" s="299"/>
      <c r="K1067" s="300"/>
      <c r="L1067" s="301" t="s">
        <v>1706</v>
      </c>
    </row>
    <row r="1068" spans="1:12">
      <c r="B1068" s="342"/>
      <c r="C1068" s="296"/>
      <c r="D1068" s="296"/>
      <c r="E1068" s="303"/>
      <c r="F1068" s="297" t="s">
        <v>1305</v>
      </c>
      <c r="G1068" s="298" t="s">
        <v>1007</v>
      </c>
      <c r="H1068" s="296" t="s">
        <v>1714</v>
      </c>
      <c r="I1068" s="309">
        <v>1</v>
      </c>
      <c r="J1068" s="299"/>
      <c r="K1068" s="300"/>
      <c r="L1068" s="301" t="s">
        <v>1713</v>
      </c>
    </row>
    <row r="1069" spans="1:12">
      <c r="B1069" s="342"/>
      <c r="C1069" s="296"/>
      <c r="D1069" s="296"/>
      <c r="E1069" s="303"/>
      <c r="F1069" s="297" t="s">
        <v>1317</v>
      </c>
      <c r="G1069" s="298" t="s">
        <v>1156</v>
      </c>
      <c r="H1069" s="296"/>
      <c r="I1069" s="309">
        <v>1</v>
      </c>
      <c r="J1069" s="299"/>
      <c r="K1069" s="300"/>
      <c r="L1069" s="301" t="s">
        <v>1715</v>
      </c>
    </row>
    <row r="1070" spans="1:12" ht="28.5">
      <c r="B1070" s="342"/>
      <c r="C1070" s="296"/>
      <c r="D1070" s="296"/>
      <c r="E1070" s="303"/>
      <c r="F1070" s="303" t="s">
        <v>1317</v>
      </c>
      <c r="G1070" s="308" t="s">
        <v>941</v>
      </c>
      <c r="H1070" s="302" t="s">
        <v>1717</v>
      </c>
      <c r="I1070" s="309">
        <v>1</v>
      </c>
      <c r="J1070" s="310"/>
      <c r="K1070" s="311"/>
      <c r="L1070" s="301" t="s">
        <v>1716</v>
      </c>
    </row>
    <row r="1071" spans="1:12">
      <c r="B1071" s="342"/>
      <c r="C1071" s="296"/>
      <c r="D1071" s="296"/>
      <c r="E1071" s="303"/>
      <c r="F1071" s="303" t="s">
        <v>1317</v>
      </c>
      <c r="G1071" s="308" t="s">
        <v>1199</v>
      </c>
      <c r="H1071" s="302" t="s">
        <v>2975</v>
      </c>
      <c r="I1071" s="309">
        <v>1</v>
      </c>
      <c r="J1071" s="310"/>
      <c r="K1071" s="311"/>
      <c r="L1071" s="301" t="s">
        <v>2976</v>
      </c>
    </row>
    <row r="1072" spans="1:12">
      <c r="B1072" s="342"/>
      <c r="C1072" s="296"/>
      <c r="D1072" s="296"/>
      <c r="E1072" s="303"/>
      <c r="F1072" s="303" t="s">
        <v>1309</v>
      </c>
      <c r="G1072" s="308" t="s">
        <v>1228</v>
      </c>
      <c r="H1072" s="302" t="s">
        <v>2978</v>
      </c>
      <c r="I1072" s="309">
        <v>6</v>
      </c>
      <c r="J1072" s="310"/>
      <c r="K1072" s="311"/>
      <c r="L1072" s="301" t="s">
        <v>2977</v>
      </c>
    </row>
    <row r="1073" spans="1:12">
      <c r="B1073" s="342"/>
      <c r="C1073" s="296"/>
      <c r="D1073" s="296"/>
      <c r="E1073" s="303"/>
      <c r="F1073" s="303" t="s">
        <v>1309</v>
      </c>
      <c r="G1073" s="308" t="s">
        <v>1230</v>
      </c>
      <c r="H1073" s="302" t="s">
        <v>2659</v>
      </c>
      <c r="I1073" s="309">
        <v>6</v>
      </c>
      <c r="J1073" s="310"/>
      <c r="K1073" s="311"/>
      <c r="L1073" s="301" t="s">
        <v>2979</v>
      </c>
    </row>
    <row r="1074" spans="1:12">
      <c r="B1074" s="342"/>
      <c r="C1074" s="296"/>
      <c r="D1074" s="296"/>
      <c r="E1074" s="303"/>
      <c r="F1074" s="303" t="s">
        <v>1317</v>
      </c>
      <c r="G1074" s="308" t="s">
        <v>1210</v>
      </c>
      <c r="H1074" s="302"/>
      <c r="I1074" s="309">
        <v>18</v>
      </c>
      <c r="J1074" s="310"/>
      <c r="K1074" s="311"/>
      <c r="L1074" s="301" t="s">
        <v>2980</v>
      </c>
    </row>
    <row r="1075" spans="1:12">
      <c r="B1075" s="342"/>
      <c r="C1075" s="296"/>
      <c r="D1075" s="296"/>
      <c r="E1075" s="303"/>
      <c r="F1075" s="303" t="s">
        <v>1309</v>
      </c>
      <c r="G1075" s="308" t="s">
        <v>1235</v>
      </c>
      <c r="H1075" s="302" t="s">
        <v>2659</v>
      </c>
      <c r="I1075" s="309">
        <v>6</v>
      </c>
      <c r="J1075" s="310"/>
      <c r="K1075" s="311"/>
      <c r="L1075" s="301" t="s">
        <v>2981</v>
      </c>
    </row>
    <row r="1076" spans="1:12" ht="15">
      <c r="B1076" s="182"/>
      <c r="C1076" s="182"/>
      <c r="D1076" s="328"/>
      <c r="E1076" s="403"/>
      <c r="F1076" s="182"/>
      <c r="G1076" s="328"/>
      <c r="H1076" s="183"/>
      <c r="I1076" s="423"/>
      <c r="J1076" s="184"/>
      <c r="K1076" s="185"/>
      <c r="L1076" s="328"/>
    </row>
    <row r="1077" spans="1:12">
      <c r="A1077" s="290"/>
      <c r="B1077" s="342" t="s">
        <v>15</v>
      </c>
      <c r="C1077" s="343" t="s">
        <v>102</v>
      </c>
      <c r="D1077" s="343"/>
      <c r="E1077" s="404"/>
      <c r="F1077" s="344"/>
      <c r="G1077" s="342"/>
      <c r="H1077" s="343" t="s">
        <v>3428</v>
      </c>
      <c r="I1077" s="424">
        <v>1</v>
      </c>
      <c r="J1077" s="345"/>
      <c r="K1077" s="346"/>
      <c r="L1077" s="448" t="s">
        <v>1719</v>
      </c>
    </row>
    <row r="1078" spans="1:12">
      <c r="A1078" s="290"/>
      <c r="B1078" s="342"/>
      <c r="C1078" s="296"/>
      <c r="D1078" s="296" t="s">
        <v>102</v>
      </c>
      <c r="E1078" s="303" t="s">
        <v>1311</v>
      </c>
      <c r="F1078" s="297"/>
      <c r="G1078" s="298"/>
      <c r="H1078" s="296" t="s">
        <v>1718</v>
      </c>
      <c r="I1078" s="309">
        <v>1</v>
      </c>
      <c r="J1078" s="299"/>
      <c r="K1078" s="300"/>
      <c r="L1078" s="301" t="s">
        <v>1720</v>
      </c>
    </row>
    <row r="1079" spans="1:12">
      <c r="B1079" s="342"/>
      <c r="C1079" s="296"/>
      <c r="D1079" s="296" t="s">
        <v>2982</v>
      </c>
      <c r="E1079" s="303" t="s">
        <v>1302</v>
      </c>
      <c r="F1079" s="297"/>
      <c r="G1079" s="298"/>
      <c r="H1079" s="296" t="s">
        <v>2985</v>
      </c>
      <c r="I1079" s="309">
        <v>1</v>
      </c>
      <c r="J1079" s="299"/>
      <c r="K1079" s="300"/>
      <c r="L1079" s="301" t="s">
        <v>2986</v>
      </c>
    </row>
    <row r="1080" spans="1:12">
      <c r="B1080" s="342"/>
      <c r="C1080" s="296"/>
      <c r="D1080" s="296"/>
      <c r="E1080" s="303"/>
      <c r="F1080" s="297" t="s">
        <v>1305</v>
      </c>
      <c r="G1080" s="298" t="s">
        <v>1009</v>
      </c>
      <c r="H1080" s="296" t="s">
        <v>2989</v>
      </c>
      <c r="I1080" s="309">
        <v>1</v>
      </c>
      <c r="J1080" s="299"/>
      <c r="K1080" s="300"/>
      <c r="L1080" s="301" t="s">
        <v>2987</v>
      </c>
    </row>
    <row r="1081" spans="1:12">
      <c r="B1081" s="342"/>
      <c r="C1081" s="296"/>
      <c r="D1081" s="296"/>
      <c r="E1081" s="303"/>
      <c r="F1081" s="297" t="s">
        <v>1317</v>
      </c>
      <c r="G1081" s="298" t="s">
        <v>941</v>
      </c>
      <c r="H1081" s="296" t="s">
        <v>2404</v>
      </c>
      <c r="I1081" s="309">
        <v>1</v>
      </c>
      <c r="J1081" s="299"/>
      <c r="K1081" s="300"/>
      <c r="L1081" s="301" t="s">
        <v>2988</v>
      </c>
    </row>
    <row r="1082" spans="1:12">
      <c r="B1082" s="342"/>
      <c r="C1082" s="296"/>
      <c r="D1082" s="296"/>
      <c r="E1082" s="303"/>
      <c r="F1082" s="297" t="s">
        <v>1317</v>
      </c>
      <c r="G1082" s="298" t="s">
        <v>1156</v>
      </c>
      <c r="H1082" s="296"/>
      <c r="I1082" s="309">
        <v>1</v>
      </c>
      <c r="J1082" s="299"/>
      <c r="K1082" s="300"/>
      <c r="L1082" s="301" t="s">
        <v>2990</v>
      </c>
    </row>
    <row r="1083" spans="1:12">
      <c r="B1083" s="342"/>
      <c r="C1083" s="296"/>
      <c r="D1083" s="296"/>
      <c r="E1083" s="303"/>
      <c r="F1083" s="297" t="s">
        <v>1317</v>
      </c>
      <c r="G1083" s="298" t="s">
        <v>1199</v>
      </c>
      <c r="H1083" s="296" t="s">
        <v>2991</v>
      </c>
      <c r="I1083" s="309">
        <v>1</v>
      </c>
      <c r="J1083" s="299"/>
      <c r="K1083" s="300"/>
      <c r="L1083" s="301" t="s">
        <v>2992</v>
      </c>
    </row>
    <row r="1084" spans="1:12" ht="15">
      <c r="B1084" s="182"/>
      <c r="C1084" s="182"/>
      <c r="D1084" s="328"/>
      <c r="E1084" s="403"/>
      <c r="F1084" s="182"/>
      <c r="G1084" s="328"/>
      <c r="H1084" s="183"/>
      <c r="I1084" s="423"/>
      <c r="J1084" s="184"/>
      <c r="K1084" s="185"/>
      <c r="L1084" s="328"/>
    </row>
    <row r="1085" spans="1:12">
      <c r="A1085" s="290"/>
      <c r="B1085" s="342" t="s">
        <v>15</v>
      </c>
      <c r="C1085" s="343" t="s">
        <v>108</v>
      </c>
      <c r="D1085" s="343"/>
      <c r="E1085" s="404"/>
      <c r="F1085" s="344"/>
      <c r="G1085" s="342"/>
      <c r="H1085" s="343" t="s">
        <v>3428</v>
      </c>
      <c r="I1085" s="424">
        <v>1</v>
      </c>
      <c r="J1085" s="345"/>
      <c r="K1085" s="346"/>
      <c r="L1085" s="448" t="s">
        <v>1743</v>
      </c>
    </row>
    <row r="1086" spans="1:12" ht="28.5">
      <c r="A1086" s="290"/>
      <c r="B1086" s="342"/>
      <c r="C1086" s="296"/>
      <c r="D1086" s="301" t="s">
        <v>1742</v>
      </c>
      <c r="E1086" s="303" t="s">
        <v>1311</v>
      </c>
      <c r="F1086" s="297"/>
      <c r="G1086" s="298"/>
      <c r="H1086" s="307" t="s">
        <v>1751</v>
      </c>
      <c r="I1086" s="309">
        <v>1</v>
      </c>
      <c r="J1086" s="299"/>
      <c r="K1086" s="300"/>
      <c r="L1086" s="301" t="s">
        <v>1744</v>
      </c>
    </row>
    <row r="1087" spans="1:12" ht="15">
      <c r="B1087" s="182"/>
      <c r="C1087" s="182"/>
      <c r="D1087" s="328"/>
      <c r="E1087" s="403"/>
      <c r="F1087" s="182"/>
      <c r="G1087" s="328"/>
      <c r="H1087" s="183"/>
      <c r="I1087" s="423"/>
      <c r="J1087" s="184"/>
      <c r="K1087" s="185"/>
      <c r="L1087" s="328"/>
    </row>
    <row r="1088" spans="1:12">
      <c r="A1088" s="290"/>
      <c r="B1088" s="342" t="s">
        <v>15</v>
      </c>
      <c r="C1088" s="343" t="s">
        <v>1745</v>
      </c>
      <c r="D1088" s="343"/>
      <c r="E1088" s="404"/>
      <c r="F1088" s="344"/>
      <c r="G1088" s="342"/>
      <c r="H1088" s="343"/>
      <c r="I1088" s="424">
        <v>1</v>
      </c>
      <c r="J1088" s="345"/>
      <c r="K1088" s="346"/>
      <c r="L1088" s="448" t="s">
        <v>1746</v>
      </c>
    </row>
    <row r="1089" spans="1:12">
      <c r="A1089" s="290"/>
      <c r="B1089" s="342"/>
      <c r="C1089" s="296"/>
      <c r="D1089" s="296" t="s">
        <v>1748</v>
      </c>
      <c r="E1089" s="303" t="s">
        <v>1302</v>
      </c>
      <c r="F1089" s="297"/>
      <c r="G1089" s="298"/>
      <c r="H1089" s="296"/>
      <c r="I1089" s="309">
        <v>1</v>
      </c>
      <c r="J1089" s="299"/>
      <c r="K1089" s="300"/>
      <c r="L1089" s="301" t="s">
        <v>1747</v>
      </c>
    </row>
    <row r="1090" spans="1:12">
      <c r="A1090" s="290"/>
      <c r="B1090" s="342"/>
      <c r="C1090" s="296"/>
      <c r="D1090" s="296"/>
      <c r="E1090" s="303"/>
      <c r="F1090" s="297" t="s">
        <v>1305</v>
      </c>
      <c r="G1090" s="298" t="s">
        <v>999</v>
      </c>
      <c r="H1090" s="296"/>
      <c r="I1090" s="309">
        <v>8</v>
      </c>
      <c r="J1090" s="299"/>
      <c r="K1090" s="300"/>
      <c r="L1090" s="301" t="s">
        <v>1749</v>
      </c>
    </row>
    <row r="1091" spans="1:12">
      <c r="A1091" s="290"/>
      <c r="B1091" s="342"/>
      <c r="C1091" s="296"/>
      <c r="D1091" s="296"/>
      <c r="E1091" s="303"/>
      <c r="F1091" s="297" t="s">
        <v>1305</v>
      </c>
      <c r="G1091" s="298" t="s">
        <v>1010</v>
      </c>
      <c r="H1091" s="296" t="s">
        <v>3007</v>
      </c>
      <c r="I1091" s="309">
        <v>1</v>
      </c>
      <c r="J1091" s="299"/>
      <c r="K1091" s="300"/>
      <c r="L1091" s="301" t="s">
        <v>1750</v>
      </c>
    </row>
    <row r="1092" spans="1:12">
      <c r="A1092" s="290"/>
      <c r="B1092" s="342"/>
      <c r="C1092" s="296"/>
      <c r="D1092" s="296"/>
      <c r="E1092" s="303"/>
      <c r="F1092" s="297" t="s">
        <v>1317</v>
      </c>
      <c r="G1092" s="298" t="s">
        <v>1218</v>
      </c>
      <c r="H1092" s="296"/>
      <c r="I1092" s="309">
        <v>8</v>
      </c>
      <c r="J1092" s="299"/>
      <c r="K1092" s="300"/>
      <c r="L1092" s="301" t="s">
        <v>3008</v>
      </c>
    </row>
    <row r="1093" spans="1:12">
      <c r="A1093" s="290"/>
      <c r="B1093" s="342"/>
      <c r="C1093" s="296"/>
      <c r="D1093" s="296"/>
      <c r="E1093" s="303"/>
      <c r="F1093" s="297" t="s">
        <v>1317</v>
      </c>
      <c r="G1093" s="298" t="s">
        <v>1214</v>
      </c>
      <c r="H1093" s="296"/>
      <c r="I1093" s="309">
        <v>1</v>
      </c>
      <c r="J1093" s="299"/>
      <c r="K1093" s="300"/>
      <c r="L1093" s="301" t="s">
        <v>3009</v>
      </c>
    </row>
    <row r="1094" spans="1:12">
      <c r="A1094" s="290"/>
      <c r="B1094" s="342"/>
      <c r="C1094" s="296"/>
      <c r="D1094" s="296"/>
      <c r="E1094" s="303"/>
      <c r="F1094" s="297" t="s">
        <v>1317</v>
      </c>
      <c r="G1094" s="298" t="s">
        <v>1025</v>
      </c>
      <c r="H1094" s="296"/>
      <c r="I1094" s="309">
        <v>1</v>
      </c>
      <c r="J1094" s="299"/>
      <c r="K1094" s="300"/>
      <c r="L1094" s="301" t="s">
        <v>3010</v>
      </c>
    </row>
    <row r="1095" spans="1:12">
      <c r="A1095" s="290"/>
      <c r="B1095" s="342"/>
      <c r="C1095" s="296"/>
      <c r="D1095" s="296"/>
      <c r="E1095" s="303"/>
      <c r="F1095" s="297" t="s">
        <v>1317</v>
      </c>
      <c r="G1095" s="298" t="s">
        <v>1206</v>
      </c>
      <c r="H1095" s="296"/>
      <c r="I1095" s="309">
        <v>1</v>
      </c>
      <c r="J1095" s="299"/>
      <c r="K1095" s="300"/>
      <c r="L1095" s="301" t="s">
        <v>3011</v>
      </c>
    </row>
    <row r="1096" spans="1:12">
      <c r="A1096" s="290"/>
      <c r="B1096" s="342"/>
      <c r="C1096" s="296"/>
      <c r="D1096" s="296"/>
      <c r="E1096" s="303"/>
      <c r="F1096" s="297" t="s">
        <v>1317</v>
      </c>
      <c r="G1096" s="298" t="s">
        <v>1199</v>
      </c>
      <c r="H1096" s="296" t="s">
        <v>3012</v>
      </c>
      <c r="I1096" s="309">
        <v>1</v>
      </c>
      <c r="J1096" s="299"/>
      <c r="K1096" s="300"/>
      <c r="L1096" s="301" t="s">
        <v>3013</v>
      </c>
    </row>
    <row r="1097" spans="1:12">
      <c r="A1097" s="290"/>
      <c r="B1097" s="342"/>
      <c r="C1097" s="296"/>
      <c r="D1097" s="296"/>
      <c r="E1097" s="303"/>
      <c r="F1097" s="297" t="s">
        <v>1317</v>
      </c>
      <c r="G1097" s="298" t="s">
        <v>1199</v>
      </c>
      <c r="H1097" s="296" t="s">
        <v>3014</v>
      </c>
      <c r="I1097" s="309">
        <v>1</v>
      </c>
      <c r="J1097" s="299"/>
      <c r="K1097" s="300"/>
      <c r="L1097" s="301" t="s">
        <v>3015</v>
      </c>
    </row>
    <row r="1098" spans="1:12">
      <c r="A1098" s="290"/>
      <c r="B1098" s="342"/>
      <c r="C1098" s="296"/>
      <c r="D1098" s="296"/>
      <c r="E1098" s="303"/>
      <c r="F1098" s="297" t="s">
        <v>1309</v>
      </c>
      <c r="G1098" s="298" t="s">
        <v>1228</v>
      </c>
      <c r="H1098" s="296"/>
      <c r="I1098" s="309">
        <v>4</v>
      </c>
      <c r="J1098" s="299"/>
      <c r="K1098" s="300"/>
      <c r="L1098" s="301" t="s">
        <v>3016</v>
      </c>
    </row>
    <row r="1099" spans="1:12">
      <c r="A1099" s="290"/>
      <c r="B1099" s="342"/>
      <c r="C1099" s="296"/>
      <c r="D1099" s="296"/>
      <c r="E1099" s="303"/>
      <c r="F1099" s="297" t="s">
        <v>1309</v>
      </c>
      <c r="G1099" s="298" t="s">
        <v>1235</v>
      </c>
      <c r="H1099" s="296"/>
      <c r="I1099" s="309">
        <v>4</v>
      </c>
      <c r="J1099" s="299"/>
      <c r="K1099" s="300"/>
      <c r="L1099" s="301" t="s">
        <v>3017</v>
      </c>
    </row>
    <row r="1100" spans="1:12">
      <c r="A1100" s="290"/>
      <c r="B1100" s="342"/>
      <c r="C1100" s="296"/>
      <c r="D1100" s="296"/>
      <c r="E1100" s="303"/>
      <c r="F1100" s="297" t="s">
        <v>1309</v>
      </c>
      <c r="G1100" s="298" t="s">
        <v>1230</v>
      </c>
      <c r="H1100" s="296"/>
      <c r="I1100" s="309">
        <v>4</v>
      </c>
      <c r="J1100" s="299"/>
      <c r="K1100" s="300"/>
      <c r="L1100" s="301" t="s">
        <v>3018</v>
      </c>
    </row>
    <row r="1101" spans="1:12">
      <c r="A1101" s="290"/>
      <c r="B1101" s="342"/>
      <c r="C1101" s="296"/>
      <c r="D1101" s="296"/>
      <c r="E1101" s="303"/>
      <c r="F1101" s="297" t="s">
        <v>1317</v>
      </c>
      <c r="G1101" s="298" t="s">
        <v>1210</v>
      </c>
      <c r="H1101" s="296"/>
      <c r="I1101" s="309">
        <v>12</v>
      </c>
      <c r="J1101" s="299"/>
      <c r="K1101" s="300"/>
      <c r="L1101" s="301" t="s">
        <v>3019</v>
      </c>
    </row>
    <row r="1102" spans="1:12">
      <c r="B1102" s="342"/>
      <c r="C1102" s="296"/>
      <c r="D1102" s="296" t="s">
        <v>3422</v>
      </c>
      <c r="E1102" s="303" t="s">
        <v>1302</v>
      </c>
      <c r="F1102" s="297"/>
      <c r="G1102" s="298"/>
      <c r="H1102" s="296"/>
      <c r="I1102" s="309">
        <v>4</v>
      </c>
      <c r="J1102" s="299"/>
      <c r="K1102" s="300"/>
      <c r="L1102" s="301" t="s">
        <v>3353</v>
      </c>
    </row>
    <row r="1103" spans="1:12">
      <c r="B1103" s="342"/>
      <c r="C1103" s="296"/>
      <c r="D1103" s="296"/>
      <c r="E1103" s="303"/>
      <c r="F1103" s="297" t="s">
        <v>1305</v>
      </c>
      <c r="G1103" s="298" t="s">
        <v>3354</v>
      </c>
      <c r="H1103" s="296"/>
      <c r="I1103" s="309">
        <v>2</v>
      </c>
      <c r="J1103" s="299"/>
      <c r="K1103" s="300"/>
      <c r="L1103" s="301" t="s">
        <v>3355</v>
      </c>
    </row>
    <row r="1104" spans="1:12">
      <c r="B1104" s="342"/>
      <c r="C1104" s="296"/>
      <c r="D1104" s="296"/>
      <c r="E1104" s="303"/>
      <c r="F1104" s="297" t="s">
        <v>1317</v>
      </c>
      <c r="G1104" s="298" t="s">
        <v>1157</v>
      </c>
      <c r="H1104" s="296" t="s">
        <v>1339</v>
      </c>
      <c r="I1104" s="309">
        <v>2</v>
      </c>
      <c r="J1104" s="299"/>
      <c r="K1104" s="300"/>
      <c r="L1104" s="301" t="s">
        <v>3356</v>
      </c>
    </row>
    <row r="1105" spans="1:12">
      <c r="B1105" s="342"/>
      <c r="C1105" s="296"/>
      <c r="D1105" s="296"/>
      <c r="E1105" s="303"/>
      <c r="F1105" s="297" t="s">
        <v>1317</v>
      </c>
      <c r="G1105" s="298" t="s">
        <v>1208</v>
      </c>
      <c r="H1105" s="296" t="s">
        <v>3357</v>
      </c>
      <c r="I1105" s="309">
        <v>2</v>
      </c>
      <c r="J1105" s="299"/>
      <c r="K1105" s="300"/>
      <c r="L1105" s="301" t="s">
        <v>3358</v>
      </c>
    </row>
    <row r="1106" spans="1:12">
      <c r="B1106" s="342"/>
      <c r="C1106" s="296"/>
      <c r="D1106" s="296"/>
      <c r="E1106" s="303"/>
      <c r="F1106" s="297" t="s">
        <v>1317</v>
      </c>
      <c r="G1106" s="298" t="s">
        <v>1199</v>
      </c>
      <c r="H1106" s="296" t="s">
        <v>3359</v>
      </c>
      <c r="I1106" s="309">
        <v>1</v>
      </c>
      <c r="J1106" s="299"/>
      <c r="K1106" s="300"/>
      <c r="L1106" s="301" t="s">
        <v>3360</v>
      </c>
    </row>
    <row r="1107" spans="1:12">
      <c r="B1107" s="342"/>
      <c r="C1107" s="296"/>
      <c r="D1107" s="296"/>
      <c r="E1107" s="303"/>
      <c r="F1107" s="297" t="s">
        <v>1317</v>
      </c>
      <c r="G1107" s="298" t="s">
        <v>1199</v>
      </c>
      <c r="H1107" s="296" t="s">
        <v>3361</v>
      </c>
      <c r="I1107" s="309">
        <v>1</v>
      </c>
      <c r="J1107" s="299"/>
      <c r="K1107" s="300"/>
      <c r="L1107" s="301" t="s">
        <v>3362</v>
      </c>
    </row>
    <row r="1108" spans="1:12" ht="15">
      <c r="B1108" s="182"/>
      <c r="C1108" s="182"/>
      <c r="D1108" s="328"/>
      <c r="E1108" s="403"/>
      <c r="F1108" s="182"/>
      <c r="G1108" s="328"/>
      <c r="H1108" s="183"/>
      <c r="I1108" s="423"/>
      <c r="J1108" s="184"/>
      <c r="K1108" s="185"/>
      <c r="L1108" s="328"/>
    </row>
    <row r="1109" spans="1:12">
      <c r="A1109" s="290"/>
      <c r="B1109" s="342" t="s">
        <v>15</v>
      </c>
      <c r="C1109" s="343" t="s">
        <v>107</v>
      </c>
      <c r="D1109" s="343"/>
      <c r="E1109" s="404"/>
      <c r="F1109" s="344"/>
      <c r="G1109" s="342"/>
      <c r="H1109" s="343"/>
      <c r="I1109" s="424">
        <v>1</v>
      </c>
      <c r="J1109" s="345"/>
      <c r="K1109" s="346"/>
      <c r="L1109" s="448" t="s">
        <v>2701</v>
      </c>
    </row>
    <row r="1110" spans="1:12">
      <c r="A1110" s="290"/>
      <c r="B1110" s="342"/>
      <c r="C1110" s="296"/>
      <c r="D1110" s="296" t="s">
        <v>2700</v>
      </c>
      <c r="E1110" s="303" t="s">
        <v>1302</v>
      </c>
      <c r="F1110" s="297"/>
      <c r="G1110" s="298"/>
      <c r="H1110" s="296"/>
      <c r="I1110" s="309">
        <v>1</v>
      </c>
      <c r="J1110" s="299"/>
      <c r="K1110" s="300"/>
      <c r="L1110" s="301" t="s">
        <v>2702</v>
      </c>
    </row>
    <row r="1111" spans="1:12">
      <c r="A1111" s="290"/>
      <c r="B1111" s="342"/>
      <c r="C1111" s="296"/>
      <c r="D1111" s="296"/>
      <c r="E1111" s="303"/>
      <c r="F1111" s="297" t="s">
        <v>1317</v>
      </c>
      <c r="G1111" s="298" t="s">
        <v>1211</v>
      </c>
      <c r="H1111" s="296" t="s">
        <v>2705</v>
      </c>
      <c r="I1111" s="309">
        <v>1</v>
      </c>
      <c r="J1111" s="299"/>
      <c r="K1111" s="300"/>
      <c r="L1111" s="301" t="s">
        <v>2706</v>
      </c>
    </row>
    <row r="1112" spans="1:12">
      <c r="A1112" s="290"/>
      <c r="B1112" s="342"/>
      <c r="C1112" s="296"/>
      <c r="D1112" s="296"/>
      <c r="E1112" s="303"/>
      <c r="F1112" s="297" t="s">
        <v>1317</v>
      </c>
      <c r="G1112" s="298" t="s">
        <v>2707</v>
      </c>
      <c r="H1112" s="296" t="s">
        <v>3425</v>
      </c>
      <c r="I1112" s="309">
        <v>4</v>
      </c>
      <c r="J1112" s="299"/>
      <c r="K1112" s="300"/>
      <c r="L1112" s="301" t="s">
        <v>2708</v>
      </c>
    </row>
    <row r="1113" spans="1:12">
      <c r="B1113" s="342"/>
      <c r="C1113" s="296"/>
      <c r="D1113" s="296" t="s">
        <v>2703</v>
      </c>
      <c r="E1113" s="303" t="s">
        <v>1302</v>
      </c>
      <c r="F1113" s="297"/>
      <c r="G1113" s="298"/>
      <c r="H1113" s="296"/>
      <c r="I1113" s="309">
        <v>1</v>
      </c>
      <c r="J1113" s="299"/>
      <c r="K1113" s="300"/>
      <c r="L1113" s="301" t="s">
        <v>2704</v>
      </c>
    </row>
    <row r="1114" spans="1:12">
      <c r="B1114" s="342"/>
      <c r="C1114" s="296"/>
      <c r="D1114" s="296"/>
      <c r="E1114" s="303"/>
      <c r="F1114" s="297" t="s">
        <v>1317</v>
      </c>
      <c r="G1114" s="298" t="s">
        <v>2709</v>
      </c>
      <c r="H1114" s="296" t="s">
        <v>3424</v>
      </c>
      <c r="I1114" s="309">
        <v>6</v>
      </c>
      <c r="J1114" s="299"/>
      <c r="K1114" s="300"/>
      <c r="L1114" s="301" t="s">
        <v>2710</v>
      </c>
    </row>
    <row r="1115" spans="1:12" ht="15">
      <c r="B1115" s="182"/>
      <c r="C1115" s="182"/>
      <c r="D1115" s="328"/>
      <c r="E1115" s="403"/>
      <c r="F1115" s="182"/>
      <c r="G1115" s="328"/>
      <c r="H1115" s="183"/>
      <c r="I1115" s="423"/>
      <c r="J1115" s="184"/>
      <c r="K1115" s="185"/>
      <c r="L1115" s="328"/>
    </row>
    <row r="1116" spans="1:12">
      <c r="A1116" s="290"/>
      <c r="B1116" s="342" t="s">
        <v>15</v>
      </c>
      <c r="C1116" s="343" t="s">
        <v>104</v>
      </c>
      <c r="D1116" s="343"/>
      <c r="E1116" s="404"/>
      <c r="F1116" s="344"/>
      <c r="G1116" s="342"/>
      <c r="H1116" s="343"/>
      <c r="I1116" s="424">
        <v>1</v>
      </c>
      <c r="J1116" s="345"/>
      <c r="K1116" s="346"/>
      <c r="L1116" s="448" t="s">
        <v>2711</v>
      </c>
    </row>
    <row r="1117" spans="1:12">
      <c r="A1117" s="290"/>
      <c r="B1117" s="342"/>
      <c r="C1117" s="296"/>
      <c r="D1117" s="296" t="s">
        <v>3045</v>
      </c>
      <c r="E1117" s="303" t="s">
        <v>1302</v>
      </c>
      <c r="F1117" s="297"/>
      <c r="G1117" s="298"/>
      <c r="H1117" s="296"/>
      <c r="I1117" s="309">
        <v>1</v>
      </c>
      <c r="J1117" s="299"/>
      <c r="K1117" s="300"/>
      <c r="L1117" s="301" t="s">
        <v>2712</v>
      </c>
    </row>
    <row r="1118" spans="1:12">
      <c r="A1118" s="290"/>
      <c r="B1118" s="342"/>
      <c r="C1118" s="296"/>
      <c r="D1118" s="296"/>
      <c r="E1118" s="303"/>
      <c r="F1118" s="297" t="s">
        <v>1305</v>
      </c>
      <c r="G1118" s="298" t="s">
        <v>2713</v>
      </c>
      <c r="H1118" s="296"/>
      <c r="I1118" s="309">
        <v>1</v>
      </c>
      <c r="J1118" s="299"/>
      <c r="K1118" s="300"/>
      <c r="L1118" s="301" t="s">
        <v>2714</v>
      </c>
    </row>
    <row r="1119" spans="1:12">
      <c r="A1119" s="290"/>
      <c r="B1119" s="342"/>
      <c r="C1119" s="296"/>
      <c r="D1119" s="296"/>
      <c r="E1119" s="303"/>
      <c r="F1119" s="297" t="s">
        <v>1305</v>
      </c>
      <c r="G1119" s="298" t="s">
        <v>1005</v>
      </c>
      <c r="H1119" s="296"/>
      <c r="I1119" s="309">
        <v>1</v>
      </c>
      <c r="J1119" s="299"/>
      <c r="K1119" s="300"/>
      <c r="L1119" s="301" t="s">
        <v>2715</v>
      </c>
    </row>
    <row r="1120" spans="1:12">
      <c r="A1120" s="290"/>
      <c r="B1120" s="342"/>
      <c r="C1120" s="296"/>
      <c r="D1120" s="296"/>
      <c r="E1120" s="303"/>
      <c r="F1120" s="297" t="s">
        <v>1317</v>
      </c>
      <c r="G1120" s="298" t="s">
        <v>1100</v>
      </c>
      <c r="H1120" s="296" t="s">
        <v>2716</v>
      </c>
      <c r="I1120" s="309">
        <v>1</v>
      </c>
      <c r="J1120" s="299"/>
      <c r="K1120" s="300"/>
      <c r="L1120" s="301" t="s">
        <v>2717</v>
      </c>
    </row>
    <row r="1121" spans="1:12">
      <c r="A1121" s="290"/>
      <c r="B1121" s="342"/>
      <c r="C1121" s="296"/>
      <c r="D1121" s="296"/>
      <c r="E1121" s="303"/>
      <c r="F1121" s="297" t="s">
        <v>1317</v>
      </c>
      <c r="G1121" s="298" t="s">
        <v>1199</v>
      </c>
      <c r="H1121" s="296" t="s">
        <v>2718</v>
      </c>
      <c r="I1121" s="309">
        <v>1</v>
      </c>
      <c r="J1121" s="299"/>
      <c r="K1121" s="300"/>
      <c r="L1121" s="301" t="s">
        <v>2719</v>
      </c>
    </row>
    <row r="1122" spans="1:12">
      <c r="A1122" s="290"/>
      <c r="B1122" s="342"/>
      <c r="C1122" s="296"/>
      <c r="D1122" s="296"/>
      <c r="E1122" s="303"/>
      <c r="F1122" s="297" t="s">
        <v>1309</v>
      </c>
      <c r="G1122" s="298" t="s">
        <v>1228</v>
      </c>
      <c r="H1122" s="296"/>
      <c r="I1122" s="309">
        <v>2</v>
      </c>
      <c r="J1122" s="299"/>
      <c r="K1122" s="300"/>
      <c r="L1122" s="301" t="s">
        <v>2721</v>
      </c>
    </row>
    <row r="1123" spans="1:12">
      <c r="A1123" s="290"/>
      <c r="B1123" s="342"/>
      <c r="C1123" s="296"/>
      <c r="D1123" s="296"/>
      <c r="E1123" s="303"/>
      <c r="F1123" s="297" t="s">
        <v>1309</v>
      </c>
      <c r="G1123" s="298" t="s">
        <v>1230</v>
      </c>
      <c r="H1123" s="296"/>
      <c r="I1123" s="309">
        <v>2</v>
      </c>
      <c r="J1123" s="299"/>
      <c r="K1123" s="300"/>
      <c r="L1123" s="301" t="s">
        <v>2722</v>
      </c>
    </row>
    <row r="1124" spans="1:12">
      <c r="A1124" s="290"/>
      <c r="B1124" s="342"/>
      <c r="C1124" s="296"/>
      <c r="D1124" s="296"/>
      <c r="E1124" s="303"/>
      <c r="F1124" s="297" t="s">
        <v>1309</v>
      </c>
      <c r="G1124" s="298" t="s">
        <v>1235</v>
      </c>
      <c r="H1124" s="296"/>
      <c r="I1124" s="309">
        <v>2</v>
      </c>
      <c r="J1124" s="299"/>
      <c r="K1124" s="300"/>
      <c r="L1124" s="301" t="s">
        <v>2723</v>
      </c>
    </row>
    <row r="1125" spans="1:12">
      <c r="A1125" s="290"/>
      <c r="B1125" s="342"/>
      <c r="C1125" s="296"/>
      <c r="D1125" s="296"/>
      <c r="E1125" s="303"/>
      <c r="F1125" s="297" t="s">
        <v>1317</v>
      </c>
      <c r="G1125" s="298" t="s">
        <v>2750</v>
      </c>
      <c r="H1125" s="296"/>
      <c r="I1125" s="309">
        <v>4</v>
      </c>
      <c r="J1125" s="299"/>
      <c r="K1125" s="300"/>
      <c r="L1125" s="301" t="s">
        <v>2724</v>
      </c>
    </row>
    <row r="1126" spans="1:12">
      <c r="A1126" s="290"/>
      <c r="B1126" s="342"/>
      <c r="C1126" s="296"/>
      <c r="D1126" s="296"/>
      <c r="E1126" s="303"/>
      <c r="F1126" s="297" t="s">
        <v>1317</v>
      </c>
      <c r="G1126" s="298" t="s">
        <v>3021</v>
      </c>
      <c r="H1126" s="296" t="s">
        <v>3020</v>
      </c>
      <c r="I1126" s="309">
        <v>1</v>
      </c>
      <c r="J1126" s="299"/>
      <c r="K1126" s="300"/>
      <c r="L1126" s="301" t="s">
        <v>2730</v>
      </c>
    </row>
    <row r="1127" spans="1:12" ht="28.5">
      <c r="B1127" s="342"/>
      <c r="C1127" s="296"/>
      <c r="D1127" s="307" t="s">
        <v>2725</v>
      </c>
      <c r="E1127" s="303" t="s">
        <v>1302</v>
      </c>
      <c r="F1127" s="297"/>
      <c r="G1127" s="298"/>
      <c r="H1127" s="296"/>
      <c r="I1127" s="309">
        <v>1</v>
      </c>
      <c r="J1127" s="310"/>
      <c r="K1127" s="311"/>
      <c r="L1127" s="301" t="s">
        <v>2720</v>
      </c>
    </row>
    <row r="1128" spans="1:12">
      <c r="B1128" s="342"/>
      <c r="C1128" s="296"/>
      <c r="D1128" s="307"/>
      <c r="E1128" s="303"/>
      <c r="F1128" s="297" t="s">
        <v>1305</v>
      </c>
      <c r="G1128" s="298" t="s">
        <v>1007</v>
      </c>
      <c r="H1128" s="296" t="s">
        <v>2726</v>
      </c>
      <c r="I1128" s="309">
        <v>1</v>
      </c>
      <c r="J1128" s="310"/>
      <c r="K1128" s="311"/>
      <c r="L1128" s="301" t="s">
        <v>2727</v>
      </c>
    </row>
    <row r="1129" spans="1:12">
      <c r="B1129" s="342"/>
      <c r="C1129" s="296"/>
      <c r="D1129" s="307"/>
      <c r="E1129" s="303"/>
      <c r="F1129" s="297" t="s">
        <v>1317</v>
      </c>
      <c r="G1129" s="298" t="s">
        <v>1156</v>
      </c>
      <c r="H1129" s="296"/>
      <c r="I1129" s="309">
        <v>1</v>
      </c>
      <c r="J1129" s="310"/>
      <c r="K1129" s="311"/>
      <c r="L1129" s="301" t="s">
        <v>2728</v>
      </c>
    </row>
    <row r="1130" spans="1:12">
      <c r="B1130" s="342"/>
      <c r="C1130" s="296"/>
      <c r="D1130" s="307"/>
      <c r="E1130" s="303"/>
      <c r="F1130" s="297" t="s">
        <v>1309</v>
      </c>
      <c r="G1130" s="298" t="s">
        <v>1228</v>
      </c>
      <c r="H1130" s="296"/>
      <c r="I1130" s="309">
        <v>4</v>
      </c>
      <c r="J1130" s="310"/>
      <c r="K1130" s="311"/>
      <c r="L1130" s="301" t="s">
        <v>2729</v>
      </c>
    </row>
    <row r="1131" spans="1:12">
      <c r="B1131" s="342"/>
      <c r="C1131" s="296"/>
      <c r="D1131" s="307"/>
      <c r="E1131" s="303"/>
      <c r="F1131" s="297" t="s">
        <v>1309</v>
      </c>
      <c r="G1131" s="298" t="s">
        <v>1230</v>
      </c>
      <c r="H1131" s="296"/>
      <c r="I1131" s="309">
        <v>4</v>
      </c>
      <c r="J1131" s="310"/>
      <c r="K1131" s="311"/>
      <c r="L1131" s="301" t="s">
        <v>2731</v>
      </c>
    </row>
    <row r="1132" spans="1:12">
      <c r="B1132" s="342"/>
      <c r="C1132" s="296"/>
      <c r="D1132" s="307"/>
      <c r="E1132" s="303"/>
      <c r="F1132" s="297" t="s">
        <v>1309</v>
      </c>
      <c r="G1132" s="298" t="s">
        <v>1235</v>
      </c>
      <c r="H1132" s="296"/>
      <c r="I1132" s="309">
        <v>4</v>
      </c>
      <c r="J1132" s="310"/>
      <c r="K1132" s="311"/>
      <c r="L1132" s="301" t="s">
        <v>2732</v>
      </c>
    </row>
    <row r="1133" spans="1:12">
      <c r="B1133" s="342"/>
      <c r="C1133" s="296"/>
      <c r="D1133" s="307"/>
      <c r="E1133" s="303"/>
      <c r="F1133" s="297" t="s">
        <v>1317</v>
      </c>
      <c r="G1133" s="298" t="s">
        <v>1199</v>
      </c>
      <c r="H1133" s="296" t="s">
        <v>2734</v>
      </c>
      <c r="I1133" s="309">
        <v>1</v>
      </c>
      <c r="J1133" s="310"/>
      <c r="K1133" s="311"/>
      <c r="L1133" s="301" t="s">
        <v>2733</v>
      </c>
    </row>
    <row r="1134" spans="1:12">
      <c r="B1134" s="342"/>
      <c r="C1134" s="296"/>
      <c r="D1134" s="307"/>
      <c r="E1134" s="303"/>
      <c r="F1134" s="297" t="s">
        <v>1317</v>
      </c>
      <c r="G1134" s="298" t="s">
        <v>1210</v>
      </c>
      <c r="H1134" s="296"/>
      <c r="I1134" s="309">
        <v>12</v>
      </c>
      <c r="J1134" s="310"/>
      <c r="K1134" s="311"/>
      <c r="L1134" s="301" t="s">
        <v>2767</v>
      </c>
    </row>
    <row r="1135" spans="1:12" ht="15">
      <c r="B1135" s="182"/>
      <c r="C1135" s="182"/>
      <c r="D1135" s="328"/>
      <c r="E1135" s="403"/>
      <c r="F1135" s="182"/>
      <c r="G1135" s="328"/>
      <c r="H1135" s="183"/>
      <c r="I1135" s="423"/>
      <c r="J1135" s="184"/>
      <c r="K1135" s="185"/>
      <c r="L1135" s="328"/>
    </row>
    <row r="1136" spans="1:12">
      <c r="A1136" s="290"/>
      <c r="B1136" s="342" t="s">
        <v>15</v>
      </c>
      <c r="C1136" s="343" t="s">
        <v>3409</v>
      </c>
      <c r="D1136" s="343"/>
      <c r="E1136" s="344"/>
      <c r="F1136" s="344"/>
      <c r="G1136" s="342"/>
      <c r="H1136" s="343" t="s">
        <v>3428</v>
      </c>
      <c r="I1136" s="451">
        <v>1</v>
      </c>
      <c r="J1136" s="345"/>
      <c r="K1136" s="346"/>
      <c r="L1136" s="343" t="s">
        <v>3410</v>
      </c>
    </row>
    <row r="1137" spans="1:12" ht="28.5">
      <c r="A1137" s="290"/>
      <c r="B1137" s="342"/>
      <c r="C1137" s="296"/>
      <c r="D1137" s="307" t="s">
        <v>3412</v>
      </c>
      <c r="E1137" s="297" t="s">
        <v>1311</v>
      </c>
      <c r="F1137" s="297"/>
      <c r="G1137" s="298"/>
      <c r="H1137" s="296"/>
      <c r="I1137" s="441">
        <v>1</v>
      </c>
      <c r="J1137" s="299"/>
      <c r="K1137" s="300"/>
      <c r="L1137" s="296" t="s">
        <v>3411</v>
      </c>
    </row>
    <row r="1138" spans="1:12" ht="15">
      <c r="B1138" s="182"/>
      <c r="C1138" s="182"/>
      <c r="D1138" s="328"/>
      <c r="E1138" s="403"/>
      <c r="F1138" s="182"/>
      <c r="G1138" s="328"/>
      <c r="H1138" s="183"/>
      <c r="I1138" s="423"/>
      <c r="J1138" s="184"/>
      <c r="K1138" s="185"/>
      <c r="L1138" s="328"/>
    </row>
    <row r="1139" spans="1:12" ht="18">
      <c r="A1139" s="158" t="s">
        <v>36</v>
      </c>
      <c r="B1139" s="105"/>
      <c r="C1139" s="105"/>
      <c r="D1139" s="321"/>
      <c r="E1139" s="396"/>
      <c r="F1139" s="105"/>
      <c r="G1139" s="321"/>
      <c r="H1139" s="159" t="s">
        <v>1247</v>
      </c>
      <c r="I1139" s="414">
        <v>1</v>
      </c>
      <c r="J1139" s="134">
        <v>0</v>
      </c>
      <c r="K1139" s="161">
        <f>J1139*I1139</f>
        <v>0</v>
      </c>
      <c r="L1139" s="321"/>
    </row>
    <row r="1140" spans="1:12" ht="15">
      <c r="A1140" s="102"/>
      <c r="B1140" s="105"/>
      <c r="C1140" s="105"/>
      <c r="D1140" s="321"/>
      <c r="E1140" s="396"/>
      <c r="F1140" s="105"/>
      <c r="G1140" s="321"/>
      <c r="H1140" s="104"/>
      <c r="I1140" s="417"/>
      <c r="J1140" s="108"/>
      <c r="K1140" s="106"/>
      <c r="L1140" s="321"/>
    </row>
    <row r="1141" spans="1:12">
      <c r="A1141" s="101"/>
      <c r="B1141" s="251" t="s">
        <v>16</v>
      </c>
      <c r="C1141" s="252" t="s">
        <v>109</v>
      </c>
      <c r="D1141" s="329"/>
      <c r="E1141" s="405"/>
      <c r="F1141" s="253"/>
      <c r="G1141" s="329"/>
      <c r="H1141" s="252"/>
      <c r="I1141" s="425">
        <v>1</v>
      </c>
      <c r="J1141" s="254"/>
      <c r="K1141" s="255"/>
      <c r="L1141" s="329" t="s">
        <v>1330</v>
      </c>
    </row>
    <row r="1142" spans="1:12">
      <c r="A1142" s="101"/>
      <c r="B1142" s="251"/>
      <c r="C1142" s="256"/>
      <c r="D1142" s="330" t="s">
        <v>1341</v>
      </c>
      <c r="E1142" s="304" t="s">
        <v>1302</v>
      </c>
      <c r="F1142" s="197"/>
      <c r="G1142" s="330"/>
      <c r="H1142" s="256"/>
      <c r="I1142" s="306">
        <v>1</v>
      </c>
      <c r="J1142" s="257"/>
      <c r="K1142" s="258"/>
      <c r="L1142" s="330" t="s">
        <v>1331</v>
      </c>
    </row>
    <row r="1143" spans="1:12">
      <c r="A1143" s="101"/>
      <c r="B1143" s="251"/>
      <c r="C1143" s="256"/>
      <c r="D1143" s="330"/>
      <c r="E1143" s="304"/>
      <c r="F1143" s="197" t="s">
        <v>1305</v>
      </c>
      <c r="G1143" s="330" t="s">
        <v>1009</v>
      </c>
      <c r="H1143" s="256" t="s">
        <v>1346</v>
      </c>
      <c r="I1143" s="306">
        <v>1</v>
      </c>
      <c r="J1143" s="257"/>
      <c r="K1143" s="258"/>
      <c r="L1143" s="330" t="s">
        <v>1332</v>
      </c>
    </row>
    <row r="1144" spans="1:12">
      <c r="A1144" s="101"/>
      <c r="B1144" s="251"/>
      <c r="C1144" s="256"/>
      <c r="D1144" s="330"/>
      <c r="E1144" s="304"/>
      <c r="F1144" s="197" t="s">
        <v>1317</v>
      </c>
      <c r="G1144" s="330" t="s">
        <v>1157</v>
      </c>
      <c r="H1144" s="256" t="s">
        <v>1339</v>
      </c>
      <c r="I1144" s="306">
        <v>1</v>
      </c>
      <c r="J1144" s="257"/>
      <c r="K1144" s="258"/>
      <c r="L1144" s="330" t="s">
        <v>1333</v>
      </c>
    </row>
    <row r="1145" spans="1:12">
      <c r="A1145" s="101"/>
      <c r="B1145" s="251"/>
      <c r="C1145" s="256"/>
      <c r="D1145" s="330"/>
      <c r="E1145" s="304"/>
      <c r="F1145" s="197" t="s">
        <v>1317</v>
      </c>
      <c r="G1145" s="330" t="s">
        <v>1158</v>
      </c>
      <c r="H1145" s="256" t="s">
        <v>1338</v>
      </c>
      <c r="I1145" s="306">
        <v>1</v>
      </c>
      <c r="J1145" s="257"/>
      <c r="K1145" s="258"/>
      <c r="L1145" s="330" t="s">
        <v>1335</v>
      </c>
    </row>
    <row r="1146" spans="1:12">
      <c r="A1146" s="101"/>
      <c r="B1146" s="251"/>
      <c r="C1146" s="256"/>
      <c r="D1146" s="330"/>
      <c r="E1146" s="304"/>
      <c r="F1146" s="197" t="s">
        <v>1317</v>
      </c>
      <c r="G1146" s="330" t="s">
        <v>1223</v>
      </c>
      <c r="H1146" s="256" t="s">
        <v>1336</v>
      </c>
      <c r="I1146" s="306">
        <v>2</v>
      </c>
      <c r="J1146" s="257"/>
      <c r="K1146" s="258"/>
      <c r="L1146" s="330" t="s">
        <v>1337</v>
      </c>
    </row>
    <row r="1147" spans="1:12">
      <c r="A1147" s="101"/>
      <c r="B1147" s="251"/>
      <c r="C1147" s="256"/>
      <c r="D1147" s="330"/>
      <c r="E1147" s="304"/>
      <c r="F1147" s="197" t="s">
        <v>1317</v>
      </c>
      <c r="G1147" s="330" t="s">
        <v>1208</v>
      </c>
      <c r="H1147" s="256" t="s">
        <v>1683</v>
      </c>
      <c r="I1147" s="306">
        <v>2</v>
      </c>
      <c r="J1147" s="257"/>
      <c r="K1147" s="258"/>
      <c r="L1147" s="330" t="s">
        <v>1340</v>
      </c>
    </row>
    <row r="1148" spans="1:12">
      <c r="A1148" s="101"/>
      <c r="B1148" s="251"/>
      <c r="C1148" s="256"/>
      <c r="D1148" s="330"/>
      <c r="E1148" s="304"/>
      <c r="F1148" s="197" t="s">
        <v>1317</v>
      </c>
      <c r="G1148" s="330" t="s">
        <v>1213</v>
      </c>
      <c r="H1148" s="256"/>
      <c r="I1148" s="306">
        <v>1</v>
      </c>
      <c r="J1148" s="257"/>
      <c r="K1148" s="258"/>
      <c r="L1148" s="330" t="s">
        <v>1378</v>
      </c>
    </row>
    <row r="1149" spans="1:12">
      <c r="A1149" s="101"/>
      <c r="B1149" s="251"/>
      <c r="C1149" s="256"/>
      <c r="D1149" s="330"/>
      <c r="E1149" s="304"/>
      <c r="F1149" s="197" t="s">
        <v>1317</v>
      </c>
      <c r="G1149" s="330" t="s">
        <v>1149</v>
      </c>
      <c r="H1149" s="256"/>
      <c r="I1149" s="306">
        <v>1</v>
      </c>
      <c r="J1149" s="257"/>
      <c r="K1149" s="258"/>
      <c r="L1149" s="330" t="s">
        <v>1519</v>
      </c>
    </row>
    <row r="1150" spans="1:12">
      <c r="A1150" s="101"/>
      <c r="B1150" s="251"/>
      <c r="C1150" s="256"/>
      <c r="D1150" s="330"/>
      <c r="E1150" s="304"/>
      <c r="F1150" s="197" t="s">
        <v>1317</v>
      </c>
      <c r="G1150" s="330" t="s">
        <v>1199</v>
      </c>
      <c r="H1150" s="256" t="s">
        <v>2772</v>
      </c>
      <c r="I1150" s="306">
        <v>1</v>
      </c>
      <c r="J1150" s="257"/>
      <c r="K1150" s="258"/>
      <c r="L1150" s="330" t="s">
        <v>2771</v>
      </c>
    </row>
    <row r="1151" spans="1:12" ht="15">
      <c r="A1151" s="102"/>
      <c r="B1151" s="251"/>
      <c r="C1151" s="256"/>
      <c r="D1151" s="330" t="s">
        <v>1342</v>
      </c>
      <c r="E1151" s="304" t="s">
        <v>1302</v>
      </c>
      <c r="F1151" s="197"/>
      <c r="G1151" s="330"/>
      <c r="H1151" s="256"/>
      <c r="I1151" s="306">
        <v>1</v>
      </c>
      <c r="J1151" s="257"/>
      <c r="K1151" s="258"/>
      <c r="L1151" s="330" t="s">
        <v>1343</v>
      </c>
    </row>
    <row r="1152" spans="1:12" ht="15">
      <c r="A1152" s="102"/>
      <c r="B1152" s="251"/>
      <c r="C1152" s="256"/>
      <c r="D1152" s="330"/>
      <c r="E1152" s="304"/>
      <c r="F1152" s="197" t="s">
        <v>1305</v>
      </c>
      <c r="G1152" s="330" t="s">
        <v>1009</v>
      </c>
      <c r="H1152" s="256" t="s">
        <v>1347</v>
      </c>
      <c r="I1152" s="306">
        <v>1</v>
      </c>
      <c r="J1152" s="257"/>
      <c r="K1152" s="258"/>
      <c r="L1152" s="330" t="s">
        <v>1348</v>
      </c>
    </row>
    <row r="1153" spans="1:12" ht="15">
      <c r="A1153" s="102"/>
      <c r="B1153" s="251"/>
      <c r="C1153" s="256"/>
      <c r="D1153" s="330"/>
      <c r="E1153" s="304"/>
      <c r="F1153" s="197" t="s">
        <v>1317</v>
      </c>
      <c r="G1153" s="330" t="s">
        <v>1157</v>
      </c>
      <c r="H1153" s="256" t="s">
        <v>1339</v>
      </c>
      <c r="I1153" s="306">
        <v>1</v>
      </c>
      <c r="J1153" s="257"/>
      <c r="K1153" s="258"/>
      <c r="L1153" s="330" t="s">
        <v>1349</v>
      </c>
    </row>
    <row r="1154" spans="1:12" ht="15">
      <c r="A1154" s="102"/>
      <c r="B1154" s="251"/>
      <c r="C1154" s="256"/>
      <c r="D1154" s="330"/>
      <c r="E1154" s="304"/>
      <c r="F1154" s="197" t="s">
        <v>1317</v>
      </c>
      <c r="G1154" s="330" t="s">
        <v>1158</v>
      </c>
      <c r="H1154" s="256" t="s">
        <v>1338</v>
      </c>
      <c r="I1154" s="306">
        <v>1</v>
      </c>
      <c r="J1154" s="257"/>
      <c r="K1154" s="258"/>
      <c r="L1154" s="330" t="s">
        <v>1350</v>
      </c>
    </row>
    <row r="1155" spans="1:12" ht="15">
      <c r="A1155" s="102"/>
      <c r="B1155" s="251"/>
      <c r="C1155" s="256"/>
      <c r="D1155" s="330"/>
      <c r="E1155" s="304"/>
      <c r="F1155" s="197" t="s">
        <v>1317</v>
      </c>
      <c r="G1155" s="330" t="s">
        <v>1208</v>
      </c>
      <c r="H1155" s="256" t="s">
        <v>1334</v>
      </c>
      <c r="I1155" s="306">
        <v>1</v>
      </c>
      <c r="J1155" s="257"/>
      <c r="K1155" s="258"/>
      <c r="L1155" s="330" t="s">
        <v>1351</v>
      </c>
    </row>
    <row r="1156" spans="1:12" ht="15">
      <c r="A1156" s="102"/>
      <c r="B1156" s="251"/>
      <c r="C1156" s="256"/>
      <c r="D1156" s="330"/>
      <c r="E1156" s="304"/>
      <c r="F1156" s="197" t="s">
        <v>1317</v>
      </c>
      <c r="G1156" s="330" t="s">
        <v>1213</v>
      </c>
      <c r="H1156" s="256"/>
      <c r="I1156" s="306">
        <v>1</v>
      </c>
      <c r="J1156" s="257"/>
      <c r="K1156" s="258"/>
      <c r="L1156" s="330" t="s">
        <v>1352</v>
      </c>
    </row>
    <row r="1157" spans="1:12" ht="15">
      <c r="A1157" s="102"/>
      <c r="B1157" s="251"/>
      <c r="C1157" s="256"/>
      <c r="D1157" s="330"/>
      <c r="E1157" s="304"/>
      <c r="F1157" s="197" t="s">
        <v>1309</v>
      </c>
      <c r="G1157" s="330" t="s">
        <v>1232</v>
      </c>
      <c r="H1157" s="256" t="s">
        <v>1375</v>
      </c>
      <c r="I1157" s="306">
        <v>2</v>
      </c>
      <c r="J1157" s="257"/>
      <c r="K1157" s="258"/>
      <c r="L1157" s="330" t="s">
        <v>1376</v>
      </c>
    </row>
    <row r="1158" spans="1:12" ht="15">
      <c r="A1158" s="102"/>
      <c r="B1158" s="251"/>
      <c r="C1158" s="256"/>
      <c r="D1158" s="330"/>
      <c r="E1158" s="304"/>
      <c r="F1158" s="197" t="s">
        <v>1317</v>
      </c>
      <c r="G1158" s="330" t="s">
        <v>1149</v>
      </c>
      <c r="H1158" s="256"/>
      <c r="I1158" s="306">
        <v>1</v>
      </c>
      <c r="J1158" s="257"/>
      <c r="K1158" s="258"/>
      <c r="L1158" s="330" t="s">
        <v>1518</v>
      </c>
    </row>
    <row r="1159" spans="1:12" ht="15">
      <c r="A1159" s="102"/>
      <c r="B1159" s="251"/>
      <c r="C1159" s="256"/>
      <c r="D1159" s="330"/>
      <c r="E1159" s="304"/>
      <c r="F1159" s="197" t="s">
        <v>1317</v>
      </c>
      <c r="G1159" s="330" t="s">
        <v>1199</v>
      </c>
      <c r="H1159" s="256" t="s">
        <v>2774</v>
      </c>
      <c r="I1159" s="306">
        <v>1</v>
      </c>
      <c r="J1159" s="257"/>
      <c r="K1159" s="258"/>
      <c r="L1159" s="330" t="s">
        <v>2773</v>
      </c>
    </row>
    <row r="1160" spans="1:12" ht="15">
      <c r="A1160" s="102"/>
      <c r="B1160" s="251"/>
      <c r="C1160" s="256"/>
      <c r="D1160" s="330" t="s">
        <v>1382</v>
      </c>
      <c r="E1160" s="304" t="s">
        <v>1302</v>
      </c>
      <c r="F1160" s="197"/>
      <c r="G1160" s="330"/>
      <c r="H1160" s="256"/>
      <c r="I1160" s="306">
        <v>2</v>
      </c>
      <c r="J1160" s="257"/>
      <c r="K1160" s="258"/>
      <c r="L1160" s="330" t="s">
        <v>1344</v>
      </c>
    </row>
    <row r="1161" spans="1:12" ht="15">
      <c r="A1161" s="102"/>
      <c r="B1161" s="251"/>
      <c r="C1161" s="256"/>
      <c r="D1161" s="330"/>
      <c r="E1161" s="304"/>
      <c r="F1161" s="197" t="s">
        <v>1305</v>
      </c>
      <c r="G1161" s="330" t="s">
        <v>1007</v>
      </c>
      <c r="H1161" s="256" t="s">
        <v>1362</v>
      </c>
      <c r="I1161" s="306">
        <v>1</v>
      </c>
      <c r="J1161" s="257"/>
      <c r="K1161" s="258"/>
      <c r="L1161" s="330" t="s">
        <v>1363</v>
      </c>
    </row>
    <row r="1162" spans="1:12" ht="15">
      <c r="A1162" s="102"/>
      <c r="B1162" s="251"/>
      <c r="C1162" s="256"/>
      <c r="D1162" s="330"/>
      <c r="E1162" s="304"/>
      <c r="F1162" s="197" t="s">
        <v>1317</v>
      </c>
      <c r="G1162" s="330" t="s">
        <v>1157</v>
      </c>
      <c r="H1162" s="256" t="s">
        <v>1339</v>
      </c>
      <c r="I1162" s="306">
        <v>1</v>
      </c>
      <c r="J1162" s="257"/>
      <c r="K1162" s="258"/>
      <c r="L1162" s="330" t="s">
        <v>1364</v>
      </c>
    </row>
    <row r="1163" spans="1:12" ht="15">
      <c r="A1163" s="102"/>
      <c r="B1163" s="251"/>
      <c r="C1163" s="256"/>
      <c r="D1163" s="330"/>
      <c r="E1163" s="304"/>
      <c r="F1163" s="197" t="s">
        <v>1317</v>
      </c>
      <c r="G1163" s="330" t="s">
        <v>1208</v>
      </c>
      <c r="H1163" s="256" t="s">
        <v>1334</v>
      </c>
      <c r="I1163" s="306">
        <v>1</v>
      </c>
      <c r="J1163" s="257"/>
      <c r="K1163" s="258"/>
      <c r="L1163" s="330" t="s">
        <v>1365</v>
      </c>
    </row>
    <row r="1164" spans="1:12" ht="15">
      <c r="A1164" s="102"/>
      <c r="B1164" s="251"/>
      <c r="C1164" s="256"/>
      <c r="D1164" s="330"/>
      <c r="E1164" s="304"/>
      <c r="F1164" s="197" t="s">
        <v>1317</v>
      </c>
      <c r="G1164" s="330" t="s">
        <v>1223</v>
      </c>
      <c r="H1164" s="256" t="s">
        <v>1366</v>
      </c>
      <c r="I1164" s="306">
        <v>1</v>
      </c>
      <c r="J1164" s="257"/>
      <c r="K1164" s="258"/>
      <c r="L1164" s="330" t="s">
        <v>1367</v>
      </c>
    </row>
    <row r="1165" spans="1:12" ht="15">
      <c r="A1165" s="102"/>
      <c r="B1165" s="251"/>
      <c r="C1165" s="256"/>
      <c r="D1165" s="330"/>
      <c r="E1165" s="304"/>
      <c r="F1165" s="197" t="s">
        <v>1309</v>
      </c>
      <c r="G1165" s="330" t="s">
        <v>1228</v>
      </c>
      <c r="H1165" s="256" t="s">
        <v>1384</v>
      </c>
      <c r="I1165" s="306">
        <v>1</v>
      </c>
      <c r="J1165" s="257"/>
      <c r="K1165" s="258"/>
      <c r="L1165" s="330" t="s">
        <v>1383</v>
      </c>
    </row>
    <row r="1166" spans="1:12" ht="15">
      <c r="A1166" s="102"/>
      <c r="B1166" s="251"/>
      <c r="C1166" s="256"/>
      <c r="D1166" s="330"/>
      <c r="E1166" s="304"/>
      <c r="F1166" s="197" t="s">
        <v>1309</v>
      </c>
      <c r="G1166" s="330" t="s">
        <v>2750</v>
      </c>
      <c r="H1166" s="256" t="s">
        <v>2768</v>
      </c>
      <c r="I1166" s="306">
        <v>1</v>
      </c>
      <c r="J1166" s="257"/>
      <c r="K1166" s="258"/>
      <c r="L1166" s="330" t="s">
        <v>2397</v>
      </c>
    </row>
    <row r="1167" spans="1:12" ht="15">
      <c r="A1167" s="102"/>
      <c r="B1167" s="251"/>
      <c r="C1167" s="256"/>
      <c r="D1167" s="330"/>
      <c r="E1167" s="304"/>
      <c r="F1167" s="197" t="s">
        <v>1317</v>
      </c>
      <c r="G1167" s="330" t="s">
        <v>1199</v>
      </c>
      <c r="H1167" s="256" t="s">
        <v>2785</v>
      </c>
      <c r="I1167" s="306">
        <v>1</v>
      </c>
      <c r="J1167" s="257"/>
      <c r="K1167" s="258"/>
      <c r="L1167" s="330" t="s">
        <v>2784</v>
      </c>
    </row>
    <row r="1168" spans="1:12" ht="28.5">
      <c r="A1168" s="102"/>
      <c r="B1168" s="251"/>
      <c r="C1168" s="256"/>
      <c r="D1168" s="305" t="s">
        <v>2398</v>
      </c>
      <c r="E1168" s="304" t="s">
        <v>1302</v>
      </c>
      <c r="F1168" s="197"/>
      <c r="G1168" s="330"/>
      <c r="H1168" s="256"/>
      <c r="I1168" s="306">
        <v>1</v>
      </c>
      <c r="J1168" s="257"/>
      <c r="K1168" s="258"/>
      <c r="L1168" s="330" t="s">
        <v>1345</v>
      </c>
    </row>
    <row r="1169" spans="1:12" ht="15">
      <c r="A1169" s="102"/>
      <c r="B1169" s="251"/>
      <c r="C1169" s="256"/>
      <c r="D1169" s="330"/>
      <c r="E1169" s="304"/>
      <c r="F1169" s="197" t="s">
        <v>1305</v>
      </c>
      <c r="G1169" s="330" t="s">
        <v>1007</v>
      </c>
      <c r="H1169" s="256" t="s">
        <v>1362</v>
      </c>
      <c r="I1169" s="306">
        <v>1</v>
      </c>
      <c r="J1169" s="257"/>
      <c r="K1169" s="258"/>
      <c r="L1169" s="330" t="s">
        <v>1368</v>
      </c>
    </row>
    <row r="1170" spans="1:12" ht="15">
      <c r="A1170" s="102"/>
      <c r="B1170" s="251"/>
      <c r="C1170" s="256"/>
      <c r="D1170" s="330"/>
      <c r="E1170" s="304"/>
      <c r="F1170" s="197" t="s">
        <v>1317</v>
      </c>
      <c r="G1170" s="330" t="s">
        <v>1158</v>
      </c>
      <c r="H1170" s="256" t="s">
        <v>1369</v>
      </c>
      <c r="I1170" s="306">
        <v>1</v>
      </c>
      <c r="J1170" s="257"/>
      <c r="K1170" s="258"/>
      <c r="L1170" s="330" t="s">
        <v>1370</v>
      </c>
    </row>
    <row r="1171" spans="1:12" ht="15">
      <c r="A1171" s="102"/>
      <c r="B1171" s="251"/>
      <c r="C1171" s="256"/>
      <c r="D1171" s="330"/>
      <c r="E1171" s="304"/>
      <c r="F1171" s="197" t="s">
        <v>1309</v>
      </c>
      <c r="G1171" s="330" t="s">
        <v>1232</v>
      </c>
      <c r="H1171" s="256" t="s">
        <v>1374</v>
      </c>
      <c r="I1171" s="306">
        <v>1</v>
      </c>
      <c r="J1171" s="257"/>
      <c r="K1171" s="258"/>
      <c r="L1171" s="330" t="s">
        <v>1371</v>
      </c>
    </row>
    <row r="1172" spans="1:12" ht="15">
      <c r="A1172" s="102"/>
      <c r="B1172" s="251"/>
      <c r="C1172" s="256"/>
      <c r="D1172" s="330"/>
      <c r="E1172" s="304"/>
      <c r="F1172" s="197" t="s">
        <v>1309</v>
      </c>
      <c r="G1172" s="330" t="s">
        <v>1232</v>
      </c>
      <c r="H1172" s="256" t="s">
        <v>1372</v>
      </c>
      <c r="I1172" s="306">
        <v>1</v>
      </c>
      <c r="J1172" s="257"/>
      <c r="K1172" s="258"/>
      <c r="L1172" s="330" t="s">
        <v>1373</v>
      </c>
    </row>
    <row r="1173" spans="1:12" ht="15">
      <c r="A1173" s="102"/>
      <c r="B1173" s="251"/>
      <c r="C1173" s="256"/>
      <c r="D1173" s="330"/>
      <c r="E1173" s="304"/>
      <c r="F1173" s="197" t="s">
        <v>1309</v>
      </c>
      <c r="G1173" s="330" t="s">
        <v>1228</v>
      </c>
      <c r="H1173" s="256" t="s">
        <v>1380</v>
      </c>
      <c r="I1173" s="306">
        <v>2</v>
      </c>
      <c r="J1173" s="257"/>
      <c r="K1173" s="258"/>
      <c r="L1173" s="330" t="s">
        <v>1377</v>
      </c>
    </row>
    <row r="1174" spans="1:12" ht="15">
      <c r="A1174" s="102"/>
      <c r="B1174" s="251"/>
      <c r="C1174" s="256"/>
      <c r="D1174" s="330"/>
      <c r="E1174" s="304"/>
      <c r="F1174" s="197" t="s">
        <v>1309</v>
      </c>
      <c r="G1174" s="330" t="s">
        <v>1228</v>
      </c>
      <c r="H1174" s="256" t="s">
        <v>1379</v>
      </c>
      <c r="I1174" s="306">
        <v>2</v>
      </c>
      <c r="J1174" s="257"/>
      <c r="K1174" s="258"/>
      <c r="L1174" s="330" t="s">
        <v>1381</v>
      </c>
    </row>
    <row r="1175" spans="1:12" ht="15">
      <c r="A1175" s="102"/>
      <c r="B1175" s="251"/>
      <c r="C1175" s="256"/>
      <c r="D1175" s="330"/>
      <c r="E1175" s="304"/>
      <c r="F1175" s="197" t="s">
        <v>1309</v>
      </c>
      <c r="G1175" s="330" t="s">
        <v>1228</v>
      </c>
      <c r="H1175" s="256" t="s">
        <v>1688</v>
      </c>
      <c r="I1175" s="306">
        <v>1</v>
      </c>
      <c r="J1175" s="257"/>
      <c r="K1175" s="258"/>
      <c r="L1175" s="330" t="s">
        <v>1689</v>
      </c>
    </row>
    <row r="1176" spans="1:12" ht="15">
      <c r="A1176" s="102"/>
      <c r="B1176" s="251"/>
      <c r="C1176" s="256"/>
      <c r="D1176" s="330"/>
      <c r="E1176" s="304"/>
      <c r="F1176" s="197" t="s">
        <v>1309</v>
      </c>
      <c r="G1176" s="330" t="s">
        <v>1230</v>
      </c>
      <c r="H1176" s="256" t="s">
        <v>1690</v>
      </c>
      <c r="I1176" s="306">
        <v>1</v>
      </c>
      <c r="J1176" s="257"/>
      <c r="K1176" s="258"/>
      <c r="L1176" s="330" t="s">
        <v>1691</v>
      </c>
    </row>
    <row r="1177" spans="1:12" ht="15">
      <c r="A1177" s="102"/>
      <c r="B1177" s="251"/>
      <c r="C1177" s="256"/>
      <c r="D1177" s="330"/>
      <c r="E1177" s="304"/>
      <c r="F1177" s="197" t="s">
        <v>1317</v>
      </c>
      <c r="G1177" s="330" t="s">
        <v>1539</v>
      </c>
      <c r="H1177" s="256" t="s">
        <v>1540</v>
      </c>
      <c r="I1177" s="306">
        <v>1</v>
      </c>
      <c r="J1177" s="257"/>
      <c r="K1177" s="258"/>
      <c r="L1177" s="330" t="s">
        <v>1696</v>
      </c>
    </row>
    <row r="1178" spans="1:12" ht="15">
      <c r="A1178" s="102"/>
      <c r="B1178" s="251"/>
      <c r="C1178" s="256"/>
      <c r="D1178" s="330"/>
      <c r="E1178" s="304"/>
      <c r="F1178" s="197" t="s">
        <v>1317</v>
      </c>
      <c r="G1178" s="330" t="s">
        <v>1572</v>
      </c>
      <c r="H1178" s="256" t="s">
        <v>1575</v>
      </c>
      <c r="I1178" s="306">
        <v>1</v>
      </c>
      <c r="J1178" s="257"/>
      <c r="K1178" s="258"/>
      <c r="L1178" s="330" t="s">
        <v>1697</v>
      </c>
    </row>
    <row r="1179" spans="1:12" ht="15">
      <c r="A1179" s="102"/>
      <c r="B1179" s="251"/>
      <c r="C1179" s="256"/>
      <c r="D1179" s="330"/>
      <c r="E1179" s="304"/>
      <c r="F1179" s="197" t="s">
        <v>1317</v>
      </c>
      <c r="G1179" s="330" t="s">
        <v>1572</v>
      </c>
      <c r="H1179" s="256" t="s">
        <v>1571</v>
      </c>
      <c r="I1179" s="306">
        <v>1</v>
      </c>
      <c r="J1179" s="257"/>
      <c r="K1179" s="258"/>
      <c r="L1179" s="330" t="s">
        <v>1698</v>
      </c>
    </row>
    <row r="1180" spans="1:12" ht="15">
      <c r="A1180" s="102"/>
      <c r="B1180" s="251"/>
      <c r="C1180" s="256"/>
      <c r="D1180" s="330"/>
      <c r="E1180" s="304"/>
      <c r="F1180" s="197" t="s">
        <v>1317</v>
      </c>
      <c r="G1180" s="330" t="s">
        <v>1199</v>
      </c>
      <c r="H1180" s="256" t="s">
        <v>2770</v>
      </c>
      <c r="I1180" s="306">
        <v>1</v>
      </c>
      <c r="J1180" s="257"/>
      <c r="K1180" s="258"/>
      <c r="L1180" s="330" t="s">
        <v>2769</v>
      </c>
    </row>
    <row r="1181" spans="1:12" ht="15">
      <c r="A1181" s="102"/>
      <c r="B1181" s="251"/>
      <c r="C1181" s="256"/>
      <c r="D1181" s="330"/>
      <c r="E1181" s="304"/>
      <c r="F1181" s="197" t="s">
        <v>1317</v>
      </c>
      <c r="G1181" s="330" t="s">
        <v>1199</v>
      </c>
      <c r="H1181" s="256" t="s">
        <v>2780</v>
      </c>
      <c r="I1181" s="306">
        <v>1</v>
      </c>
      <c r="J1181" s="257"/>
      <c r="K1181" s="258"/>
      <c r="L1181" s="330" t="s">
        <v>2781</v>
      </c>
    </row>
    <row r="1182" spans="1:12" ht="15">
      <c r="A1182" s="102"/>
      <c r="B1182" s="251"/>
      <c r="C1182" s="256"/>
      <c r="D1182" s="330"/>
      <c r="E1182" s="304"/>
      <c r="F1182" s="197" t="s">
        <v>1317</v>
      </c>
      <c r="G1182" s="330" t="s">
        <v>1199</v>
      </c>
      <c r="H1182" s="256" t="s">
        <v>2782</v>
      </c>
      <c r="I1182" s="306">
        <v>1</v>
      </c>
      <c r="J1182" s="257"/>
      <c r="K1182" s="258"/>
      <c r="L1182" s="330" t="s">
        <v>2783</v>
      </c>
    </row>
    <row r="1183" spans="1:12" ht="15">
      <c r="A1183" s="102"/>
      <c r="B1183" s="251"/>
      <c r="C1183" s="256"/>
      <c r="D1183" s="330"/>
      <c r="E1183" s="304"/>
      <c r="F1183" s="197" t="s">
        <v>1317</v>
      </c>
      <c r="G1183" s="330" t="s">
        <v>1210</v>
      </c>
      <c r="H1183" s="256"/>
      <c r="I1183" s="306">
        <v>6</v>
      </c>
      <c r="J1183" s="257"/>
      <c r="K1183" s="258"/>
      <c r="L1183" s="330" t="s">
        <v>2926</v>
      </c>
    </row>
    <row r="1184" spans="1:12" ht="15">
      <c r="A1184" s="102"/>
      <c r="B1184" s="251"/>
      <c r="C1184" s="256"/>
      <c r="D1184" s="331" t="s">
        <v>1520</v>
      </c>
      <c r="E1184" s="304" t="s">
        <v>1302</v>
      </c>
      <c r="F1184" s="197"/>
      <c r="G1184" s="330"/>
      <c r="H1184" s="256" t="s">
        <v>1692</v>
      </c>
      <c r="I1184" s="306">
        <v>1</v>
      </c>
      <c r="J1184" s="257"/>
      <c r="K1184" s="258"/>
      <c r="L1184" s="330" t="s">
        <v>1353</v>
      </c>
    </row>
    <row r="1185" spans="1:12" ht="15">
      <c r="A1185" s="102"/>
      <c r="B1185" s="251"/>
      <c r="C1185" s="256"/>
      <c r="D1185" s="331"/>
      <c r="E1185" s="304"/>
      <c r="F1185" s="197" t="s">
        <v>1305</v>
      </c>
      <c r="G1185" s="330" t="s">
        <v>999</v>
      </c>
      <c r="H1185" s="256" t="s">
        <v>1553</v>
      </c>
      <c r="I1185" s="306">
        <v>8</v>
      </c>
      <c r="J1185" s="257"/>
      <c r="K1185" s="258"/>
      <c r="L1185" s="330" t="s">
        <v>1693</v>
      </c>
    </row>
    <row r="1186" spans="1:12" ht="15">
      <c r="A1186" s="102"/>
      <c r="B1186" s="251"/>
      <c r="C1186" s="256"/>
      <c r="D1186" s="331"/>
      <c r="E1186" s="304"/>
      <c r="F1186" s="197" t="s">
        <v>1317</v>
      </c>
      <c r="G1186" s="330" t="s">
        <v>1180</v>
      </c>
      <c r="H1186" s="256" t="s">
        <v>1542</v>
      </c>
      <c r="I1186" s="306">
        <v>1</v>
      </c>
      <c r="J1186" s="257"/>
      <c r="K1186" s="258"/>
      <c r="L1186" s="330" t="s">
        <v>1694</v>
      </c>
    </row>
    <row r="1187" spans="1:12" ht="15">
      <c r="A1187" s="102"/>
      <c r="B1187" s="251"/>
      <c r="C1187" s="256"/>
      <c r="D1187" s="331"/>
      <c r="E1187" s="304"/>
      <c r="F1187" s="197" t="s">
        <v>1317</v>
      </c>
      <c r="G1187" s="330" t="s">
        <v>1211</v>
      </c>
      <c r="H1187" s="256" t="s">
        <v>1543</v>
      </c>
      <c r="I1187" s="306">
        <v>1</v>
      </c>
      <c r="J1187" s="257"/>
      <c r="K1187" s="258"/>
      <c r="L1187" s="330" t="s">
        <v>1695</v>
      </c>
    </row>
    <row r="1188" spans="1:12" ht="15">
      <c r="A1188" s="102"/>
      <c r="B1188" s="251"/>
      <c r="C1188" s="256"/>
      <c r="D1188" s="331"/>
      <c r="E1188" s="304"/>
      <c r="F1188" s="197" t="s">
        <v>1317</v>
      </c>
      <c r="G1188" s="330" t="s">
        <v>1158</v>
      </c>
      <c r="H1188" s="256" t="s">
        <v>1338</v>
      </c>
      <c r="I1188" s="306">
        <v>1</v>
      </c>
      <c r="J1188" s="257"/>
      <c r="K1188" s="258"/>
      <c r="L1188" s="330" t="s">
        <v>1699</v>
      </c>
    </row>
    <row r="1189" spans="1:12" ht="15">
      <c r="A1189" s="102"/>
      <c r="B1189" s="251"/>
      <c r="C1189" s="256"/>
      <c r="D1189" s="331"/>
      <c r="E1189" s="304"/>
      <c r="F1189" s="197" t="s">
        <v>1317</v>
      </c>
      <c r="G1189" s="330" t="s">
        <v>1208</v>
      </c>
      <c r="H1189" s="256" t="s">
        <v>1700</v>
      </c>
      <c r="I1189" s="306">
        <v>2</v>
      </c>
      <c r="J1189" s="257"/>
      <c r="K1189" s="258"/>
      <c r="L1189" s="330" t="s">
        <v>1701</v>
      </c>
    </row>
    <row r="1190" spans="1:12" ht="15">
      <c r="A1190" s="102"/>
      <c r="B1190" s="251"/>
      <c r="C1190" s="256"/>
      <c r="D1190" s="331"/>
      <c r="E1190" s="304"/>
      <c r="F1190" s="197" t="s">
        <v>1317</v>
      </c>
      <c r="G1190" s="330" t="s">
        <v>1544</v>
      </c>
      <c r="H1190" s="256" t="s">
        <v>1545</v>
      </c>
      <c r="I1190" s="306">
        <v>1</v>
      </c>
      <c r="J1190" s="257"/>
      <c r="K1190" s="258"/>
      <c r="L1190" s="330" t="s">
        <v>1702</v>
      </c>
    </row>
    <row r="1191" spans="1:12" ht="15">
      <c r="A1191" s="102"/>
      <c r="B1191" s="251"/>
      <c r="C1191" s="256"/>
      <c r="D1191" s="331"/>
      <c r="E1191" s="304"/>
      <c r="F1191" s="197" t="s">
        <v>1317</v>
      </c>
      <c r="G1191" s="330" t="s">
        <v>1572</v>
      </c>
      <c r="H1191" s="256" t="s">
        <v>1571</v>
      </c>
      <c r="I1191" s="306">
        <v>1</v>
      </c>
      <c r="J1191" s="257"/>
      <c r="K1191" s="258"/>
      <c r="L1191" s="330" t="s">
        <v>1703</v>
      </c>
    </row>
    <row r="1192" spans="1:12" ht="15">
      <c r="A1192" s="102"/>
      <c r="B1192" s="251"/>
      <c r="C1192" s="256"/>
      <c r="D1192" s="331"/>
      <c r="E1192" s="304"/>
      <c r="F1192" s="197" t="s">
        <v>1317</v>
      </c>
      <c r="G1192" s="330" t="s">
        <v>1199</v>
      </c>
      <c r="H1192" s="256" t="s">
        <v>2772</v>
      </c>
      <c r="I1192" s="306">
        <v>1</v>
      </c>
      <c r="J1192" s="257"/>
      <c r="K1192" s="258"/>
      <c r="L1192" s="330" t="s">
        <v>2775</v>
      </c>
    </row>
    <row r="1193" spans="1:12" ht="15">
      <c r="A1193" s="102"/>
      <c r="B1193" s="251"/>
      <c r="C1193" s="256"/>
      <c r="D1193" s="331"/>
      <c r="E1193" s="304"/>
      <c r="F1193" s="197" t="s">
        <v>1317</v>
      </c>
      <c r="G1193" s="330" t="s">
        <v>1561</v>
      </c>
      <c r="H1193" s="256" t="s">
        <v>660</v>
      </c>
      <c r="I1193" s="306">
        <v>1</v>
      </c>
      <c r="J1193" s="257"/>
      <c r="K1193" s="258"/>
      <c r="L1193" s="330" t="s">
        <v>2776</v>
      </c>
    </row>
    <row r="1194" spans="1:12" ht="15">
      <c r="A1194" s="102"/>
      <c r="B1194" s="251"/>
      <c r="C1194" s="256"/>
      <c r="D1194" s="331"/>
      <c r="E1194" s="304"/>
      <c r="F1194" s="197" t="s">
        <v>1317</v>
      </c>
      <c r="G1194" s="330" t="s">
        <v>1206</v>
      </c>
      <c r="H1194" s="256" t="s">
        <v>1987</v>
      </c>
      <c r="I1194" s="306">
        <v>1</v>
      </c>
      <c r="J1194" s="257"/>
      <c r="K1194" s="258"/>
      <c r="L1194" s="330" t="s">
        <v>2777</v>
      </c>
    </row>
    <row r="1195" spans="1:12" ht="15">
      <c r="A1195" s="102"/>
      <c r="B1195" s="251"/>
      <c r="C1195" s="256"/>
      <c r="D1195" s="331"/>
      <c r="E1195" s="304"/>
      <c r="F1195" s="197" t="s">
        <v>1317</v>
      </c>
      <c r="G1195" s="330" t="s">
        <v>1199</v>
      </c>
      <c r="H1195" s="256" t="s">
        <v>2778</v>
      </c>
      <c r="I1195" s="306">
        <v>2</v>
      </c>
      <c r="J1195" s="257"/>
      <c r="K1195" s="258"/>
      <c r="L1195" s="330" t="s">
        <v>2779</v>
      </c>
    </row>
    <row r="1196" spans="1:12" ht="15">
      <c r="A1196" s="102"/>
      <c r="B1196" s="251"/>
      <c r="C1196" s="256"/>
      <c r="D1196" s="330" t="s">
        <v>1354</v>
      </c>
      <c r="E1196" s="304" t="s">
        <v>1311</v>
      </c>
      <c r="F1196" s="197"/>
      <c r="G1196" s="330"/>
      <c r="H1196" s="256" t="s">
        <v>1521</v>
      </c>
      <c r="I1196" s="306">
        <v>2</v>
      </c>
      <c r="J1196" s="257"/>
      <c r="K1196" s="258"/>
      <c r="L1196" s="330" t="s">
        <v>1355</v>
      </c>
    </row>
    <row r="1197" spans="1:12" ht="15">
      <c r="A1197" s="102"/>
      <c r="B1197" s="251"/>
      <c r="C1197" s="256"/>
      <c r="D1197" s="330" t="s">
        <v>1356</v>
      </c>
      <c r="E1197" s="304" t="s">
        <v>1311</v>
      </c>
      <c r="F1197" s="197"/>
      <c r="G1197" s="330"/>
      <c r="H1197" s="256" t="s">
        <v>1357</v>
      </c>
      <c r="I1197" s="306">
        <v>1</v>
      </c>
      <c r="J1197" s="257"/>
      <c r="K1197" s="258"/>
      <c r="L1197" s="330" t="s">
        <v>1358</v>
      </c>
    </row>
    <row r="1198" spans="1:12" ht="15">
      <c r="A1198" s="102"/>
      <c r="B1198" s="251"/>
      <c r="C1198" s="256"/>
      <c r="D1198" s="330" t="s">
        <v>1359</v>
      </c>
      <c r="E1198" s="304" t="s">
        <v>1311</v>
      </c>
      <c r="F1198" s="197"/>
      <c r="G1198" s="330"/>
      <c r="H1198" s="256" t="s">
        <v>1360</v>
      </c>
      <c r="I1198" s="306">
        <v>1</v>
      </c>
      <c r="J1198" s="257"/>
      <c r="K1198" s="258"/>
      <c r="L1198" s="330" t="s">
        <v>1361</v>
      </c>
    </row>
    <row r="1199" spans="1:12" ht="15">
      <c r="A1199" s="102"/>
      <c r="B1199" s="105"/>
      <c r="C1199" s="105"/>
      <c r="D1199" s="321"/>
      <c r="E1199" s="396"/>
      <c r="F1199" s="105"/>
      <c r="G1199" s="321"/>
      <c r="H1199" s="104"/>
      <c r="I1199" s="417"/>
      <c r="J1199" s="108"/>
      <c r="K1199" s="106"/>
      <c r="L1199" s="321"/>
    </row>
    <row r="1200" spans="1:12">
      <c r="A1200" s="290"/>
      <c r="B1200" s="314" t="s">
        <v>16</v>
      </c>
      <c r="C1200" s="315" t="s">
        <v>1653</v>
      </c>
      <c r="D1200" s="332"/>
      <c r="E1200" s="406"/>
      <c r="F1200" s="316"/>
      <c r="G1200" s="332"/>
      <c r="H1200" s="315" t="s">
        <v>1655</v>
      </c>
      <c r="I1200" s="426">
        <v>1</v>
      </c>
      <c r="J1200" s="317"/>
      <c r="K1200" s="318"/>
      <c r="L1200" s="332" t="s">
        <v>1654</v>
      </c>
    </row>
    <row r="1201" spans="1:12" ht="15">
      <c r="A1201" s="102"/>
      <c r="B1201" s="314"/>
      <c r="C1201" s="296"/>
      <c r="D1201" s="301" t="s">
        <v>1656</v>
      </c>
      <c r="E1201" s="303" t="s">
        <v>1302</v>
      </c>
      <c r="F1201" s="297"/>
      <c r="G1201" s="301"/>
      <c r="H1201" s="296"/>
      <c r="I1201" s="309">
        <v>1</v>
      </c>
      <c r="J1201" s="299"/>
      <c r="K1201" s="300"/>
      <c r="L1201" s="301" t="s">
        <v>1657</v>
      </c>
    </row>
    <row r="1202" spans="1:12" ht="15">
      <c r="A1202" s="102"/>
      <c r="B1202" s="314"/>
      <c r="C1202" s="296"/>
      <c r="D1202" s="301"/>
      <c r="E1202" s="303"/>
      <c r="F1202" s="297" t="s">
        <v>1305</v>
      </c>
      <c r="G1202" s="301" t="s">
        <v>1009</v>
      </c>
      <c r="H1202" s="296" t="s">
        <v>2787</v>
      </c>
      <c r="I1202" s="309">
        <v>1</v>
      </c>
      <c r="J1202" s="299"/>
      <c r="K1202" s="300"/>
      <c r="L1202" s="301" t="s">
        <v>2786</v>
      </c>
    </row>
    <row r="1203" spans="1:12" ht="15">
      <c r="A1203" s="102"/>
      <c r="B1203" s="314"/>
      <c r="C1203" s="296"/>
      <c r="D1203" s="301"/>
      <c r="E1203" s="303"/>
      <c r="F1203" s="297" t="s">
        <v>1317</v>
      </c>
      <c r="G1203" s="301" t="s">
        <v>1157</v>
      </c>
      <c r="H1203" s="296" t="s">
        <v>1339</v>
      </c>
      <c r="I1203" s="309">
        <v>1</v>
      </c>
      <c r="J1203" s="299"/>
      <c r="K1203" s="300"/>
      <c r="L1203" s="301" t="s">
        <v>2788</v>
      </c>
    </row>
    <row r="1204" spans="1:12" ht="15">
      <c r="A1204" s="102"/>
      <c r="B1204" s="314"/>
      <c r="C1204" s="296"/>
      <c r="D1204" s="301"/>
      <c r="E1204" s="303"/>
      <c r="F1204" s="297" t="s">
        <v>1317</v>
      </c>
      <c r="G1204" s="301" t="s">
        <v>1208</v>
      </c>
      <c r="H1204" s="296" t="s">
        <v>1679</v>
      </c>
      <c r="I1204" s="309">
        <v>1</v>
      </c>
      <c r="J1204" s="299"/>
      <c r="K1204" s="300"/>
      <c r="L1204" s="301" t="s">
        <v>2789</v>
      </c>
    </row>
    <row r="1205" spans="1:12" ht="15">
      <c r="A1205" s="102"/>
      <c r="B1205" s="314"/>
      <c r="C1205" s="296"/>
      <c r="D1205" s="301"/>
      <c r="E1205" s="303"/>
      <c r="F1205" s="297" t="s">
        <v>1317</v>
      </c>
      <c r="G1205" s="301" t="s">
        <v>1199</v>
      </c>
      <c r="H1205" s="296" t="s">
        <v>2807</v>
      </c>
      <c r="I1205" s="309">
        <v>1</v>
      </c>
      <c r="J1205" s="299"/>
      <c r="K1205" s="300"/>
      <c r="L1205" s="301" t="s">
        <v>2790</v>
      </c>
    </row>
    <row r="1206" spans="1:12" ht="15">
      <c r="A1206" s="102"/>
      <c r="B1206" s="314"/>
      <c r="C1206" s="296"/>
      <c r="D1206" s="301"/>
      <c r="E1206" s="303"/>
      <c r="F1206" s="297" t="s">
        <v>1317</v>
      </c>
      <c r="G1206" s="301" t="s">
        <v>1199</v>
      </c>
      <c r="H1206" s="296" t="s">
        <v>2795</v>
      </c>
      <c r="I1206" s="309">
        <v>1</v>
      </c>
      <c r="J1206" s="299"/>
      <c r="K1206" s="300"/>
      <c r="L1206" s="301" t="s">
        <v>2793</v>
      </c>
    </row>
    <row r="1207" spans="1:12" ht="15">
      <c r="A1207" s="102"/>
      <c r="B1207" s="314"/>
      <c r="C1207" s="296"/>
      <c r="D1207" s="301"/>
      <c r="E1207" s="303"/>
      <c r="F1207" s="297" t="s">
        <v>1317</v>
      </c>
      <c r="G1207" s="301" t="s">
        <v>1199</v>
      </c>
      <c r="H1207" s="296" t="s">
        <v>1670</v>
      </c>
      <c r="I1207" s="309">
        <v>1</v>
      </c>
      <c r="J1207" s="299"/>
      <c r="K1207" s="300"/>
      <c r="L1207" s="301" t="s">
        <v>2805</v>
      </c>
    </row>
    <row r="1208" spans="1:12" ht="15">
      <c r="A1208" s="102"/>
      <c r="B1208" s="314"/>
      <c r="C1208" s="296"/>
      <c r="D1208" s="301"/>
      <c r="E1208" s="303"/>
      <c r="F1208" s="297" t="s">
        <v>1309</v>
      </c>
      <c r="G1208" s="301" t="s">
        <v>2808</v>
      </c>
      <c r="H1208" s="296"/>
      <c r="I1208" s="309">
        <v>1</v>
      </c>
      <c r="J1208" s="299"/>
      <c r="K1208" s="300"/>
      <c r="L1208" s="301" t="s">
        <v>2809</v>
      </c>
    </row>
    <row r="1209" spans="1:12" ht="15">
      <c r="A1209" s="102"/>
      <c r="B1209" s="314"/>
      <c r="C1209" s="296"/>
      <c r="D1209" s="301"/>
      <c r="E1209" s="303"/>
      <c r="F1209" s="297" t="s">
        <v>1317</v>
      </c>
      <c r="G1209" s="301" t="s">
        <v>1210</v>
      </c>
      <c r="H1209" s="296"/>
      <c r="I1209" s="309">
        <v>1</v>
      </c>
      <c r="J1209" s="299"/>
      <c r="K1209" s="300"/>
      <c r="L1209" s="301" t="s">
        <v>2810</v>
      </c>
    </row>
    <row r="1210" spans="1:12" ht="15">
      <c r="A1210" s="102"/>
      <c r="B1210" s="314"/>
      <c r="C1210" s="296"/>
      <c r="D1210" s="301"/>
      <c r="E1210" s="303"/>
      <c r="F1210" s="297" t="s">
        <v>1309</v>
      </c>
      <c r="G1210" s="301" t="s">
        <v>1232</v>
      </c>
      <c r="H1210" s="296"/>
      <c r="I1210" s="309">
        <v>1</v>
      </c>
      <c r="J1210" s="299"/>
      <c r="K1210" s="300"/>
      <c r="L1210" s="301" t="s">
        <v>2817</v>
      </c>
    </row>
    <row r="1211" spans="1:12" ht="15">
      <c r="A1211" s="102"/>
      <c r="B1211" s="314"/>
      <c r="C1211" s="296"/>
      <c r="D1211" s="301"/>
      <c r="E1211" s="303"/>
      <c r="F1211" s="297" t="s">
        <v>1317</v>
      </c>
      <c r="G1211" s="301" t="s">
        <v>1210</v>
      </c>
      <c r="H1211" s="296"/>
      <c r="I1211" s="309">
        <v>1</v>
      </c>
      <c r="J1211" s="299"/>
      <c r="K1211" s="300"/>
      <c r="L1211" s="301" t="s">
        <v>2821</v>
      </c>
    </row>
    <row r="1212" spans="1:12" ht="15">
      <c r="A1212" s="102"/>
      <c r="B1212" s="314"/>
      <c r="C1212" s="296"/>
      <c r="D1212" s="301" t="s">
        <v>1658</v>
      </c>
      <c r="E1212" s="303" t="s">
        <v>1302</v>
      </c>
      <c r="F1212" s="297"/>
      <c r="G1212" s="301"/>
      <c r="H1212" s="296"/>
      <c r="I1212" s="309">
        <v>1</v>
      </c>
      <c r="J1212" s="299"/>
      <c r="K1212" s="300"/>
      <c r="L1212" s="301" t="s">
        <v>1659</v>
      </c>
    </row>
    <row r="1213" spans="1:12" ht="15">
      <c r="A1213" s="102"/>
      <c r="B1213" s="314"/>
      <c r="C1213" s="296"/>
      <c r="D1213" s="301"/>
      <c r="E1213" s="303"/>
      <c r="F1213" s="297" t="s">
        <v>1305</v>
      </c>
      <c r="G1213" s="301" t="s">
        <v>1009</v>
      </c>
      <c r="H1213" s="296" t="s">
        <v>2787</v>
      </c>
      <c r="I1213" s="309">
        <v>1</v>
      </c>
      <c r="J1213" s="299"/>
      <c r="K1213" s="300"/>
      <c r="L1213" s="301" t="s">
        <v>2791</v>
      </c>
    </row>
    <row r="1214" spans="1:12" ht="15">
      <c r="A1214" s="102"/>
      <c r="B1214" s="314"/>
      <c r="C1214" s="296"/>
      <c r="D1214" s="301"/>
      <c r="E1214" s="303"/>
      <c r="F1214" s="297" t="s">
        <v>1317</v>
      </c>
      <c r="G1214" s="301" t="s">
        <v>1157</v>
      </c>
      <c r="H1214" s="296" t="s">
        <v>1339</v>
      </c>
      <c r="I1214" s="309">
        <v>1</v>
      </c>
      <c r="J1214" s="299"/>
      <c r="K1214" s="300"/>
      <c r="L1214" s="301" t="s">
        <v>2792</v>
      </c>
    </row>
    <row r="1215" spans="1:12" ht="15">
      <c r="A1215" s="102"/>
      <c r="B1215" s="314"/>
      <c r="C1215" s="296"/>
      <c r="D1215" s="301"/>
      <c r="E1215" s="303"/>
      <c r="F1215" s="297" t="s">
        <v>1317</v>
      </c>
      <c r="G1215" s="301" t="s">
        <v>1208</v>
      </c>
      <c r="H1215" s="296" t="s">
        <v>1679</v>
      </c>
      <c r="I1215" s="309">
        <v>1</v>
      </c>
      <c r="J1215" s="299"/>
      <c r="K1215" s="300"/>
      <c r="L1215" s="301" t="s">
        <v>2796</v>
      </c>
    </row>
    <row r="1216" spans="1:12" ht="15">
      <c r="A1216" s="102"/>
      <c r="B1216" s="314"/>
      <c r="C1216" s="296"/>
      <c r="D1216" s="301"/>
      <c r="E1216" s="303"/>
      <c r="F1216" s="297" t="s">
        <v>1317</v>
      </c>
      <c r="G1216" s="301" t="s">
        <v>1199</v>
      </c>
      <c r="H1216" s="296" t="s">
        <v>2807</v>
      </c>
      <c r="I1216" s="309">
        <v>1</v>
      </c>
      <c r="J1216" s="299"/>
      <c r="K1216" s="300"/>
      <c r="L1216" s="301" t="s">
        <v>2797</v>
      </c>
    </row>
    <row r="1217" spans="1:12" ht="15">
      <c r="A1217" s="102"/>
      <c r="B1217" s="314"/>
      <c r="C1217" s="296"/>
      <c r="D1217" s="301"/>
      <c r="E1217" s="303"/>
      <c r="F1217" s="297" t="s">
        <v>1317</v>
      </c>
      <c r="G1217" s="301" t="s">
        <v>1199</v>
      </c>
      <c r="H1217" s="296" t="s">
        <v>2799</v>
      </c>
      <c r="I1217" s="309">
        <v>1</v>
      </c>
      <c r="J1217" s="299"/>
      <c r="K1217" s="300"/>
      <c r="L1217" s="301" t="s">
        <v>2798</v>
      </c>
    </row>
    <row r="1218" spans="1:12" ht="15">
      <c r="A1218" s="102"/>
      <c r="B1218" s="314"/>
      <c r="C1218" s="296"/>
      <c r="D1218" s="301"/>
      <c r="E1218" s="303"/>
      <c r="F1218" s="297" t="s">
        <v>1309</v>
      </c>
      <c r="G1218" s="301" t="s">
        <v>2808</v>
      </c>
      <c r="H1218" s="296"/>
      <c r="I1218" s="309">
        <v>1</v>
      </c>
      <c r="J1218" s="299"/>
      <c r="K1218" s="300"/>
      <c r="L1218" s="301" t="s">
        <v>2811</v>
      </c>
    </row>
    <row r="1219" spans="1:12" ht="15">
      <c r="A1219" s="102"/>
      <c r="B1219" s="314"/>
      <c r="C1219" s="296"/>
      <c r="D1219" s="301"/>
      <c r="E1219" s="303"/>
      <c r="F1219" s="297" t="s">
        <v>1317</v>
      </c>
      <c r="G1219" s="301" t="s">
        <v>1210</v>
      </c>
      <c r="H1219" s="296"/>
      <c r="I1219" s="309">
        <v>1</v>
      </c>
      <c r="J1219" s="299"/>
      <c r="K1219" s="300"/>
      <c r="L1219" s="301" t="s">
        <v>2812</v>
      </c>
    </row>
    <row r="1220" spans="1:12" ht="15">
      <c r="A1220" s="102"/>
      <c r="B1220" s="314"/>
      <c r="C1220" s="296"/>
      <c r="D1220" s="301"/>
      <c r="E1220" s="303"/>
      <c r="F1220" s="297" t="s">
        <v>1309</v>
      </c>
      <c r="G1220" s="301" t="s">
        <v>1232</v>
      </c>
      <c r="H1220" s="296"/>
      <c r="I1220" s="309">
        <v>1</v>
      </c>
      <c r="J1220" s="299"/>
      <c r="K1220" s="300"/>
      <c r="L1220" s="301" t="s">
        <v>2818</v>
      </c>
    </row>
    <row r="1221" spans="1:12" ht="15">
      <c r="A1221" s="102"/>
      <c r="B1221" s="314"/>
      <c r="C1221" s="296"/>
      <c r="D1221" s="301"/>
      <c r="E1221" s="303"/>
      <c r="F1221" s="297" t="s">
        <v>1317</v>
      </c>
      <c r="G1221" s="301" t="s">
        <v>1210</v>
      </c>
      <c r="H1221" s="296"/>
      <c r="I1221" s="309">
        <v>1</v>
      </c>
      <c r="J1221" s="299"/>
      <c r="K1221" s="300"/>
      <c r="L1221" s="301" t="s">
        <v>2822</v>
      </c>
    </row>
    <row r="1222" spans="1:12" ht="15">
      <c r="A1222" s="102"/>
      <c r="B1222" s="314"/>
      <c r="C1222" s="296"/>
      <c r="D1222" s="301" t="s">
        <v>1660</v>
      </c>
      <c r="E1222" s="303" t="s">
        <v>1311</v>
      </c>
      <c r="F1222" s="297"/>
      <c r="G1222" s="301"/>
      <c r="H1222" s="296"/>
      <c r="I1222" s="309">
        <v>2</v>
      </c>
      <c r="J1222" s="299"/>
      <c r="K1222" s="300"/>
      <c r="L1222" s="301" t="s">
        <v>1661</v>
      </c>
    </row>
    <row r="1223" spans="1:12" ht="28.5">
      <c r="A1223" s="102"/>
      <c r="B1223" s="314"/>
      <c r="C1223" s="296"/>
      <c r="D1223" s="302" t="s">
        <v>1663</v>
      </c>
      <c r="E1223" s="303" t="s">
        <v>1302</v>
      </c>
      <c r="F1223" s="297"/>
      <c r="G1223" s="301"/>
      <c r="H1223" s="296"/>
      <c r="I1223" s="309">
        <v>1</v>
      </c>
      <c r="J1223" s="299"/>
      <c r="K1223" s="300"/>
      <c r="L1223" s="301" t="s">
        <v>1662</v>
      </c>
    </row>
    <row r="1224" spans="1:12" ht="15">
      <c r="A1224" s="102"/>
      <c r="B1224" s="314"/>
      <c r="C1224" s="296"/>
      <c r="D1224" s="302"/>
      <c r="E1224" s="303"/>
      <c r="F1224" s="297" t="s">
        <v>1305</v>
      </c>
      <c r="G1224" s="301" t="s">
        <v>1009</v>
      </c>
      <c r="H1224" s="296"/>
      <c r="I1224" s="309">
        <v>1</v>
      </c>
      <c r="J1224" s="299"/>
      <c r="K1224" s="300"/>
      <c r="L1224" s="301" t="s">
        <v>2800</v>
      </c>
    </row>
    <row r="1225" spans="1:12" ht="15">
      <c r="A1225" s="102"/>
      <c r="B1225" s="314"/>
      <c r="C1225" s="296"/>
      <c r="D1225" s="302"/>
      <c r="E1225" s="303"/>
      <c r="F1225" s="297" t="s">
        <v>1317</v>
      </c>
      <c r="G1225" s="301" t="s">
        <v>1157</v>
      </c>
      <c r="H1225" s="296" t="s">
        <v>1339</v>
      </c>
      <c r="I1225" s="309">
        <v>1</v>
      </c>
      <c r="J1225" s="299"/>
      <c r="K1225" s="300"/>
      <c r="L1225" s="301" t="s">
        <v>2801</v>
      </c>
    </row>
    <row r="1226" spans="1:12" ht="15">
      <c r="A1226" s="102"/>
      <c r="B1226" s="314"/>
      <c r="C1226" s="296"/>
      <c r="D1226" s="302"/>
      <c r="E1226" s="303"/>
      <c r="F1226" s="297" t="s">
        <v>1317</v>
      </c>
      <c r="G1226" s="301" t="s">
        <v>1157</v>
      </c>
      <c r="H1226" s="296" t="s">
        <v>1338</v>
      </c>
      <c r="I1226" s="309">
        <v>1</v>
      </c>
      <c r="J1226" s="299"/>
      <c r="K1226" s="300"/>
      <c r="L1226" s="301" t="s">
        <v>2802</v>
      </c>
    </row>
    <row r="1227" spans="1:12" ht="15">
      <c r="A1227" s="102"/>
      <c r="B1227" s="314"/>
      <c r="C1227" s="296"/>
      <c r="D1227" s="302"/>
      <c r="E1227" s="303"/>
      <c r="F1227" s="297" t="s">
        <v>1317</v>
      </c>
      <c r="G1227" s="301" t="s">
        <v>941</v>
      </c>
      <c r="H1227" s="296" t="s">
        <v>2804</v>
      </c>
      <c r="I1227" s="309">
        <v>1</v>
      </c>
      <c r="J1227" s="299"/>
      <c r="K1227" s="300"/>
      <c r="L1227" s="301" t="s">
        <v>2803</v>
      </c>
    </row>
    <row r="1228" spans="1:12" ht="15">
      <c r="A1228" s="102"/>
      <c r="B1228" s="314"/>
      <c r="C1228" s="296"/>
      <c r="D1228" s="302"/>
      <c r="E1228" s="303"/>
      <c r="F1228" s="297" t="s">
        <v>1317</v>
      </c>
      <c r="G1228" s="301" t="s">
        <v>1199</v>
      </c>
      <c r="H1228" s="296" t="s">
        <v>1656</v>
      </c>
      <c r="I1228" s="309">
        <v>1</v>
      </c>
      <c r="J1228" s="299"/>
      <c r="K1228" s="300"/>
      <c r="L1228" s="301" t="s">
        <v>2806</v>
      </c>
    </row>
    <row r="1229" spans="1:12" ht="15">
      <c r="A1229" s="102"/>
      <c r="B1229" s="314"/>
      <c r="C1229" s="296"/>
      <c r="D1229" s="302" t="s">
        <v>2794</v>
      </c>
      <c r="E1229" s="303" t="s">
        <v>1302</v>
      </c>
      <c r="F1229" s="297"/>
      <c r="G1229" s="301"/>
      <c r="H1229" s="296"/>
      <c r="I1229" s="309">
        <v>1</v>
      </c>
      <c r="J1229" s="299"/>
      <c r="K1229" s="300"/>
      <c r="L1229" s="301" t="s">
        <v>1664</v>
      </c>
    </row>
    <row r="1230" spans="1:12" ht="15">
      <c r="A1230" s="102"/>
      <c r="B1230" s="314"/>
      <c r="C1230" s="296"/>
      <c r="D1230" s="302"/>
      <c r="E1230" s="303"/>
      <c r="F1230" s="297" t="s">
        <v>1305</v>
      </c>
      <c r="G1230" s="301" t="s">
        <v>1009</v>
      </c>
      <c r="H1230" s="296"/>
      <c r="I1230" s="309">
        <v>1</v>
      </c>
      <c r="J1230" s="299"/>
      <c r="K1230" s="300"/>
      <c r="L1230" s="301" t="s">
        <v>2813</v>
      </c>
    </row>
    <row r="1231" spans="1:12" ht="15">
      <c r="A1231" s="102"/>
      <c r="B1231" s="314"/>
      <c r="C1231" s="296"/>
      <c r="D1231" s="302"/>
      <c r="E1231" s="303"/>
      <c r="F1231" s="297" t="s">
        <v>1317</v>
      </c>
      <c r="G1231" s="301" t="s">
        <v>1157</v>
      </c>
      <c r="H1231" s="296" t="s">
        <v>1339</v>
      </c>
      <c r="I1231" s="309">
        <v>1</v>
      </c>
      <c r="J1231" s="299"/>
      <c r="K1231" s="300"/>
      <c r="L1231" s="301" t="s">
        <v>2814</v>
      </c>
    </row>
    <row r="1232" spans="1:12" ht="15">
      <c r="A1232" s="102"/>
      <c r="B1232" s="314"/>
      <c r="C1232" s="296"/>
      <c r="D1232" s="302"/>
      <c r="E1232" s="303"/>
      <c r="F1232" s="297" t="s">
        <v>1317</v>
      </c>
      <c r="G1232" s="301" t="s">
        <v>1157</v>
      </c>
      <c r="H1232" s="296" t="s">
        <v>1338</v>
      </c>
      <c r="I1232" s="309">
        <v>1</v>
      </c>
      <c r="J1232" s="299"/>
      <c r="K1232" s="300"/>
      <c r="L1232" s="301" t="s">
        <v>2815</v>
      </c>
    </row>
    <row r="1233" spans="1:12" ht="15">
      <c r="A1233" s="102"/>
      <c r="B1233" s="314"/>
      <c r="C1233" s="296"/>
      <c r="D1233" s="302"/>
      <c r="E1233" s="303"/>
      <c r="F1233" s="297" t="s">
        <v>1317</v>
      </c>
      <c r="G1233" s="301" t="s">
        <v>1199</v>
      </c>
      <c r="H1233" s="296" t="s">
        <v>1658</v>
      </c>
      <c r="I1233" s="309">
        <v>1</v>
      </c>
      <c r="J1233" s="299"/>
      <c r="K1233" s="300"/>
      <c r="L1233" s="301" t="s">
        <v>2816</v>
      </c>
    </row>
    <row r="1234" spans="1:12" ht="15">
      <c r="A1234" s="102"/>
      <c r="B1234" s="314"/>
      <c r="C1234" s="296"/>
      <c r="D1234" s="302"/>
      <c r="E1234" s="303"/>
      <c r="F1234" s="297" t="s">
        <v>1309</v>
      </c>
      <c r="G1234" s="301" t="s">
        <v>1232</v>
      </c>
      <c r="H1234" s="296"/>
      <c r="I1234" s="309">
        <v>1</v>
      </c>
      <c r="J1234" s="299"/>
      <c r="K1234" s="300"/>
      <c r="L1234" s="301" t="s">
        <v>2819</v>
      </c>
    </row>
    <row r="1235" spans="1:12" ht="15">
      <c r="A1235" s="102"/>
      <c r="B1235" s="314"/>
      <c r="C1235" s="296"/>
      <c r="D1235" s="302"/>
      <c r="E1235" s="303"/>
      <c r="F1235" s="297" t="s">
        <v>1317</v>
      </c>
      <c r="G1235" s="301" t="s">
        <v>1210</v>
      </c>
      <c r="H1235" s="296"/>
      <c r="I1235" s="309">
        <v>1</v>
      </c>
      <c r="J1235" s="299"/>
      <c r="K1235" s="300"/>
      <c r="L1235" s="301" t="s">
        <v>2820</v>
      </c>
    </row>
    <row r="1236" spans="1:12" ht="15">
      <c r="A1236" s="102"/>
      <c r="B1236" s="314"/>
      <c r="C1236" s="296"/>
      <c r="D1236" s="302"/>
      <c r="E1236" s="303"/>
      <c r="F1236" s="297" t="s">
        <v>1317</v>
      </c>
      <c r="G1236" s="301" t="s">
        <v>941</v>
      </c>
      <c r="H1236" s="296" t="s">
        <v>2925</v>
      </c>
      <c r="I1236" s="309">
        <v>2</v>
      </c>
      <c r="J1236" s="299"/>
      <c r="K1236" s="300"/>
      <c r="L1236" s="301" t="s">
        <v>2921</v>
      </c>
    </row>
    <row r="1237" spans="1:12" ht="15">
      <c r="A1237" s="102"/>
      <c r="B1237" s="314"/>
      <c r="C1237" s="296"/>
      <c r="D1237" s="302" t="s">
        <v>1665</v>
      </c>
      <c r="E1237" s="303" t="s">
        <v>1311</v>
      </c>
      <c r="F1237" s="297"/>
      <c r="G1237" s="301"/>
      <c r="H1237" s="296"/>
      <c r="I1237" s="309">
        <v>1</v>
      </c>
      <c r="J1237" s="299"/>
      <c r="K1237" s="300"/>
      <c r="L1237" s="301" t="s">
        <v>1666</v>
      </c>
    </row>
    <row r="1238" spans="1:12" ht="28.5">
      <c r="A1238" s="102"/>
      <c r="B1238" s="314"/>
      <c r="C1238" s="296"/>
      <c r="D1238" s="302" t="s">
        <v>2248</v>
      </c>
      <c r="E1238" s="303" t="s">
        <v>1302</v>
      </c>
      <c r="F1238" s="297"/>
      <c r="G1238" s="301"/>
      <c r="H1238" s="296"/>
      <c r="I1238" s="309">
        <v>1</v>
      </c>
      <c r="J1238" s="299"/>
      <c r="K1238" s="300"/>
      <c r="L1238" s="301" t="s">
        <v>1667</v>
      </c>
    </row>
    <row r="1239" spans="1:12" ht="15">
      <c r="A1239" s="102"/>
      <c r="B1239" s="314"/>
      <c r="C1239" s="296"/>
      <c r="D1239" s="302" t="s">
        <v>1668</v>
      </c>
      <c r="E1239" s="303" t="s">
        <v>1302</v>
      </c>
      <c r="F1239" s="297"/>
      <c r="G1239" s="301"/>
      <c r="H1239" s="296"/>
      <c r="I1239" s="309">
        <v>1</v>
      </c>
      <c r="J1239" s="299"/>
      <c r="K1239" s="300"/>
      <c r="L1239" s="301" t="s">
        <v>1669</v>
      </c>
    </row>
    <row r="1240" spans="1:12" ht="28.5">
      <c r="A1240" s="102"/>
      <c r="B1240" s="314"/>
      <c r="C1240" s="296"/>
      <c r="D1240" s="302" t="s">
        <v>1670</v>
      </c>
      <c r="E1240" s="303" t="s">
        <v>1311</v>
      </c>
      <c r="F1240" s="312"/>
      <c r="G1240" s="301"/>
      <c r="H1240" s="302" t="s">
        <v>1674</v>
      </c>
      <c r="I1240" s="309">
        <v>3</v>
      </c>
      <c r="J1240" s="313"/>
      <c r="K1240" s="311"/>
      <c r="L1240" s="301" t="s">
        <v>1671</v>
      </c>
    </row>
    <row r="1241" spans="1:12" ht="28.5">
      <c r="A1241" s="102"/>
      <c r="B1241" s="314"/>
      <c r="C1241" s="296"/>
      <c r="D1241" s="302" t="s">
        <v>1672</v>
      </c>
      <c r="E1241" s="303" t="s">
        <v>1311</v>
      </c>
      <c r="F1241" s="312"/>
      <c r="G1241" s="301"/>
      <c r="H1241" s="302" t="s">
        <v>1675</v>
      </c>
      <c r="I1241" s="309">
        <v>1</v>
      </c>
      <c r="J1241" s="313"/>
      <c r="K1241" s="311"/>
      <c r="L1241" s="301" t="s">
        <v>1673</v>
      </c>
    </row>
    <row r="1242" spans="1:12" ht="15">
      <c r="A1242" s="102"/>
      <c r="B1242" s="105"/>
      <c r="C1242" s="105"/>
      <c r="D1242" s="321"/>
      <c r="E1242" s="396"/>
      <c r="F1242" s="105"/>
      <c r="G1242" s="321"/>
      <c r="H1242" s="104"/>
      <c r="I1242" s="417"/>
      <c r="J1242" s="108"/>
      <c r="K1242" s="106"/>
      <c r="L1242" s="321"/>
    </row>
    <row r="1243" spans="1:12">
      <c r="A1243" s="290"/>
      <c r="B1243" s="314" t="s">
        <v>16</v>
      </c>
      <c r="C1243" s="315" t="s">
        <v>110</v>
      </c>
      <c r="D1243" s="315"/>
      <c r="E1243" s="406"/>
      <c r="F1243" s="316"/>
      <c r="G1243" s="314"/>
      <c r="H1243" s="315"/>
      <c r="I1243" s="426">
        <v>1</v>
      </c>
      <c r="J1243" s="317"/>
      <c r="K1243" s="318"/>
      <c r="L1243" s="332" t="s">
        <v>1676</v>
      </c>
    </row>
    <row r="1244" spans="1:12">
      <c r="A1244" s="290"/>
      <c r="B1244" s="314"/>
      <c r="C1244" s="296"/>
      <c r="D1244" s="296" t="s">
        <v>110</v>
      </c>
      <c r="E1244" s="303" t="s">
        <v>1302</v>
      </c>
      <c r="F1244" s="297"/>
      <c r="G1244" s="298"/>
      <c r="H1244" s="296"/>
      <c r="I1244" s="309">
        <v>1</v>
      </c>
      <c r="J1244" s="299"/>
      <c r="K1244" s="300"/>
      <c r="L1244" s="301" t="s">
        <v>1677</v>
      </c>
    </row>
    <row r="1245" spans="1:12">
      <c r="A1245" s="290"/>
      <c r="B1245" s="314"/>
      <c r="C1245" s="296"/>
      <c r="D1245" s="296"/>
      <c r="E1245" s="303"/>
      <c r="F1245" s="297" t="s">
        <v>1305</v>
      </c>
      <c r="G1245" s="298" t="s">
        <v>1007</v>
      </c>
      <c r="H1245" s="296" t="s">
        <v>1362</v>
      </c>
      <c r="I1245" s="309">
        <v>1</v>
      </c>
      <c r="J1245" s="299"/>
      <c r="K1245" s="300"/>
      <c r="L1245" s="301" t="s">
        <v>1678</v>
      </c>
    </row>
    <row r="1246" spans="1:12">
      <c r="A1246" s="290"/>
      <c r="B1246" s="314"/>
      <c r="C1246" s="296"/>
      <c r="D1246" s="296"/>
      <c r="E1246" s="303"/>
      <c r="F1246" s="297" t="s">
        <v>1317</v>
      </c>
      <c r="G1246" s="298" t="s">
        <v>1208</v>
      </c>
      <c r="H1246" s="296" t="s">
        <v>1679</v>
      </c>
      <c r="I1246" s="309">
        <v>2</v>
      </c>
      <c r="J1246" s="299"/>
      <c r="K1246" s="300"/>
      <c r="L1246" s="301" t="s">
        <v>1680</v>
      </c>
    </row>
    <row r="1247" spans="1:12" ht="28.5">
      <c r="A1247" s="290"/>
      <c r="B1247" s="314"/>
      <c r="C1247" s="296"/>
      <c r="D1247" s="296"/>
      <c r="E1247" s="303"/>
      <c r="F1247" s="303" t="s">
        <v>1317</v>
      </c>
      <c r="G1247" s="308" t="s">
        <v>1199</v>
      </c>
      <c r="H1247" s="302" t="s">
        <v>2253</v>
      </c>
      <c r="I1247" s="309">
        <v>1</v>
      </c>
      <c r="J1247" s="299"/>
      <c r="K1247" s="300"/>
      <c r="L1247" s="301" t="s">
        <v>2249</v>
      </c>
    </row>
    <row r="1248" spans="1:12" ht="28.5">
      <c r="A1248" s="290"/>
      <c r="B1248" s="314"/>
      <c r="C1248" s="296"/>
      <c r="D1248" s="296"/>
      <c r="E1248" s="303"/>
      <c r="F1248" s="303" t="s">
        <v>1317</v>
      </c>
      <c r="G1248" s="308" t="s">
        <v>1199</v>
      </c>
      <c r="H1248" s="302" t="s">
        <v>2254</v>
      </c>
      <c r="I1248" s="309">
        <v>1</v>
      </c>
      <c r="J1248" s="299"/>
      <c r="K1248" s="300"/>
      <c r="L1248" s="301" t="s">
        <v>2250</v>
      </c>
    </row>
    <row r="1249" spans="1:12" ht="29.25">
      <c r="A1249" s="102"/>
      <c r="B1249" s="314"/>
      <c r="C1249" s="296"/>
      <c r="D1249" s="307" t="s">
        <v>2251</v>
      </c>
      <c r="E1249" s="303" t="s">
        <v>1311</v>
      </c>
      <c r="F1249" s="297"/>
      <c r="G1249" s="298"/>
      <c r="H1249" s="307" t="s">
        <v>1682</v>
      </c>
      <c r="I1249" s="309">
        <v>1</v>
      </c>
      <c r="J1249" s="299"/>
      <c r="K1249" s="300"/>
      <c r="L1249" s="301" t="s">
        <v>1681</v>
      </c>
    </row>
    <row r="1250" spans="1:12" ht="29.25">
      <c r="A1250" s="102"/>
      <c r="B1250" s="314"/>
      <c r="C1250" s="296"/>
      <c r="D1250" s="307" t="s">
        <v>2252</v>
      </c>
      <c r="E1250" s="303" t="s">
        <v>1311</v>
      </c>
      <c r="F1250" s="297"/>
      <c r="G1250" s="298"/>
      <c r="H1250" s="307" t="s">
        <v>2255</v>
      </c>
      <c r="I1250" s="309">
        <v>1</v>
      </c>
      <c r="J1250" s="299"/>
      <c r="K1250" s="300"/>
      <c r="L1250" s="301" t="s">
        <v>1775</v>
      </c>
    </row>
    <row r="1251" spans="1:12" ht="15">
      <c r="A1251" s="102"/>
      <c r="B1251" s="105"/>
      <c r="C1251" s="105"/>
      <c r="D1251" s="321"/>
      <c r="E1251" s="396"/>
      <c r="F1251" s="105"/>
      <c r="G1251" s="321"/>
      <c r="H1251" s="104"/>
      <c r="I1251" s="417"/>
      <c r="J1251" s="108"/>
      <c r="K1251" s="106"/>
      <c r="L1251" s="321"/>
    </row>
    <row r="1252" spans="1:12">
      <c r="A1252" s="290"/>
      <c r="B1252" s="314" t="s">
        <v>16</v>
      </c>
      <c r="C1252" s="315" t="s">
        <v>112</v>
      </c>
      <c r="D1252" s="315"/>
      <c r="E1252" s="406"/>
      <c r="F1252" s="316"/>
      <c r="G1252" s="314"/>
      <c r="H1252" s="315"/>
      <c r="I1252" s="426">
        <v>1</v>
      </c>
      <c r="J1252" s="317"/>
      <c r="K1252" s="318"/>
      <c r="L1252" s="332" t="s">
        <v>1686</v>
      </c>
    </row>
    <row r="1253" spans="1:12">
      <c r="A1253" s="290"/>
      <c r="B1253" s="314"/>
      <c r="C1253" s="296"/>
      <c r="D1253" s="296" t="s">
        <v>1684</v>
      </c>
      <c r="E1253" s="303" t="s">
        <v>1311</v>
      </c>
      <c r="F1253" s="297"/>
      <c r="G1253" s="298"/>
      <c r="H1253" s="296" t="s">
        <v>1685</v>
      </c>
      <c r="I1253" s="309">
        <v>1</v>
      </c>
      <c r="J1253" s="299"/>
      <c r="K1253" s="300"/>
      <c r="L1253" s="301" t="s">
        <v>1687</v>
      </c>
    </row>
    <row r="1254" spans="1:12" ht="15">
      <c r="A1254" s="102"/>
      <c r="B1254" s="314"/>
      <c r="C1254" s="296"/>
      <c r="D1254" s="296" t="s">
        <v>2824</v>
      </c>
      <c r="E1254" s="303" t="s">
        <v>1302</v>
      </c>
      <c r="F1254" s="297"/>
      <c r="G1254" s="298"/>
      <c r="H1254" s="296"/>
      <c r="I1254" s="309">
        <v>1</v>
      </c>
      <c r="J1254" s="299"/>
      <c r="K1254" s="300"/>
      <c r="L1254" s="301" t="s">
        <v>2825</v>
      </c>
    </row>
    <row r="1255" spans="1:12" ht="15">
      <c r="A1255" s="102"/>
      <c r="B1255" s="314"/>
      <c r="C1255" s="296"/>
      <c r="D1255" s="296"/>
      <c r="E1255" s="303"/>
      <c r="F1255" s="297" t="s">
        <v>1305</v>
      </c>
      <c r="G1255" s="298" t="s">
        <v>1007</v>
      </c>
      <c r="H1255" s="296"/>
      <c r="I1255" s="309">
        <v>1</v>
      </c>
      <c r="J1255" s="299"/>
      <c r="K1255" s="300"/>
      <c r="L1255" s="301" t="s">
        <v>2826</v>
      </c>
    </row>
    <row r="1256" spans="1:12" ht="15">
      <c r="A1256" s="102"/>
      <c r="B1256" s="314"/>
      <c r="C1256" s="296"/>
      <c r="D1256" s="296"/>
      <c r="E1256" s="303"/>
      <c r="F1256" s="297" t="s">
        <v>1317</v>
      </c>
      <c r="G1256" s="298" t="s">
        <v>1156</v>
      </c>
      <c r="H1256" s="296"/>
      <c r="I1256" s="309">
        <v>1</v>
      </c>
      <c r="J1256" s="299"/>
      <c r="K1256" s="300"/>
      <c r="L1256" s="301" t="s">
        <v>2827</v>
      </c>
    </row>
    <row r="1257" spans="1:12" ht="15">
      <c r="A1257" s="102"/>
      <c r="B1257" s="314"/>
      <c r="C1257" s="296"/>
      <c r="D1257" s="296"/>
      <c r="E1257" s="303"/>
      <c r="F1257" s="297" t="s">
        <v>1309</v>
      </c>
      <c r="G1257" s="298" t="s">
        <v>1228</v>
      </c>
      <c r="H1257" s="296"/>
      <c r="I1257" s="309">
        <v>4</v>
      </c>
      <c r="J1257" s="299"/>
      <c r="K1257" s="300"/>
      <c r="L1257" s="301" t="s">
        <v>2828</v>
      </c>
    </row>
    <row r="1258" spans="1:12" ht="15">
      <c r="A1258" s="102"/>
      <c r="B1258" s="314"/>
      <c r="C1258" s="296"/>
      <c r="D1258" s="296"/>
      <c r="E1258" s="303"/>
      <c r="F1258" s="297" t="s">
        <v>1309</v>
      </c>
      <c r="G1258" s="298" t="s">
        <v>1230</v>
      </c>
      <c r="H1258" s="296"/>
      <c r="I1258" s="309">
        <v>4</v>
      </c>
      <c r="J1258" s="299"/>
      <c r="K1258" s="300"/>
      <c r="L1258" s="301" t="s">
        <v>2829</v>
      </c>
    </row>
    <row r="1259" spans="1:12" ht="15">
      <c r="A1259" s="102"/>
      <c r="B1259" s="314"/>
      <c r="C1259" s="296"/>
      <c r="D1259" s="296"/>
      <c r="E1259" s="303"/>
      <c r="F1259" s="297" t="s">
        <v>1317</v>
      </c>
      <c r="G1259" s="298" t="s">
        <v>1210</v>
      </c>
      <c r="H1259" s="296"/>
      <c r="I1259" s="309">
        <v>8</v>
      </c>
      <c r="J1259" s="299"/>
      <c r="K1259" s="300"/>
      <c r="L1259" s="301" t="s">
        <v>2830</v>
      </c>
    </row>
    <row r="1260" spans="1:12" ht="15">
      <c r="A1260" s="102"/>
      <c r="B1260" s="314"/>
      <c r="C1260" s="296"/>
      <c r="D1260" s="296"/>
      <c r="E1260" s="303"/>
      <c r="F1260" s="297" t="s">
        <v>1317</v>
      </c>
      <c r="G1260" s="298" t="s">
        <v>1199</v>
      </c>
      <c r="H1260" s="296" t="s">
        <v>2831</v>
      </c>
      <c r="I1260" s="309">
        <v>1</v>
      </c>
      <c r="J1260" s="299"/>
      <c r="K1260" s="300"/>
      <c r="L1260" s="301" t="s">
        <v>2832</v>
      </c>
    </row>
    <row r="1261" spans="1:12" ht="15">
      <c r="A1261" s="102"/>
      <c r="B1261" s="314"/>
      <c r="C1261" s="296"/>
      <c r="D1261" s="296"/>
      <c r="E1261" s="303"/>
      <c r="F1261" s="297" t="s">
        <v>1317</v>
      </c>
      <c r="G1261" s="298" t="s">
        <v>1199</v>
      </c>
      <c r="H1261" s="296" t="s">
        <v>2833</v>
      </c>
      <c r="I1261" s="309">
        <v>1</v>
      </c>
      <c r="J1261" s="299"/>
      <c r="K1261" s="300"/>
      <c r="L1261" s="301" t="s">
        <v>2834</v>
      </c>
    </row>
    <row r="1262" spans="1:12" ht="15">
      <c r="A1262" s="102"/>
      <c r="B1262" s="105"/>
      <c r="C1262" s="105"/>
      <c r="D1262" s="321"/>
      <c r="E1262" s="396"/>
      <c r="F1262" s="105"/>
      <c r="G1262" s="321"/>
      <c r="H1262" s="104"/>
      <c r="I1262" s="417"/>
      <c r="J1262" s="108"/>
      <c r="K1262" s="106"/>
      <c r="L1262" s="321"/>
    </row>
    <row r="1263" spans="1:12">
      <c r="A1263" s="290"/>
      <c r="B1263" s="314" t="s">
        <v>16</v>
      </c>
      <c r="C1263" s="315" t="s">
        <v>1752</v>
      </c>
      <c r="D1263" s="315"/>
      <c r="E1263" s="406"/>
      <c r="F1263" s="316"/>
      <c r="G1263" s="314"/>
      <c r="H1263" s="315"/>
      <c r="I1263" s="426">
        <v>1</v>
      </c>
      <c r="J1263" s="317"/>
      <c r="K1263" s="318"/>
      <c r="L1263" s="332" t="s">
        <v>1753</v>
      </c>
    </row>
    <row r="1264" spans="1:12" ht="28.5">
      <c r="A1264" s="290"/>
      <c r="B1264" s="314"/>
      <c r="C1264" s="296"/>
      <c r="D1264" s="307" t="s">
        <v>1755</v>
      </c>
      <c r="E1264" s="303" t="s">
        <v>1302</v>
      </c>
      <c r="F1264" s="297"/>
      <c r="G1264" s="298"/>
      <c r="H1264" s="296"/>
      <c r="I1264" s="309">
        <v>1</v>
      </c>
      <c r="J1264" s="299"/>
      <c r="K1264" s="300"/>
      <c r="L1264" s="301" t="s">
        <v>1754</v>
      </c>
    </row>
    <row r="1265" spans="1:12">
      <c r="A1265" s="290"/>
      <c r="B1265" s="314"/>
      <c r="C1265" s="296"/>
      <c r="D1265" s="307"/>
      <c r="E1265" s="303"/>
      <c r="F1265" s="297" t="s">
        <v>1305</v>
      </c>
      <c r="G1265" s="298" t="s">
        <v>1007</v>
      </c>
      <c r="H1265" s="296" t="s">
        <v>1362</v>
      </c>
      <c r="I1265" s="309">
        <v>1</v>
      </c>
      <c r="J1265" s="299"/>
      <c r="K1265" s="300"/>
      <c r="L1265" s="301" t="s">
        <v>1756</v>
      </c>
    </row>
    <row r="1266" spans="1:12">
      <c r="A1266" s="290"/>
      <c r="B1266" s="314"/>
      <c r="C1266" s="296"/>
      <c r="D1266" s="307"/>
      <c r="E1266" s="303"/>
      <c r="F1266" s="297" t="s">
        <v>1317</v>
      </c>
      <c r="G1266" s="298" t="s">
        <v>1157</v>
      </c>
      <c r="H1266" s="296" t="s">
        <v>1757</v>
      </c>
      <c r="I1266" s="309">
        <v>1</v>
      </c>
      <c r="J1266" s="299"/>
      <c r="K1266" s="300"/>
      <c r="L1266" s="301" t="s">
        <v>1758</v>
      </c>
    </row>
    <row r="1267" spans="1:12">
      <c r="A1267" s="290"/>
      <c r="B1267" s="314"/>
      <c r="C1267" s="296"/>
      <c r="D1267" s="307"/>
      <c r="E1267" s="303"/>
      <c r="F1267" s="297" t="s">
        <v>1317</v>
      </c>
      <c r="G1267" s="298" t="s">
        <v>1199</v>
      </c>
      <c r="H1267" s="296"/>
      <c r="I1267" s="309">
        <v>1</v>
      </c>
      <c r="J1267" s="299"/>
      <c r="K1267" s="300"/>
      <c r="L1267" s="301" t="s">
        <v>2257</v>
      </c>
    </row>
    <row r="1268" spans="1:12" ht="15">
      <c r="A1268" s="102"/>
      <c r="B1268" s="105"/>
      <c r="C1268" s="105"/>
      <c r="D1268" s="321"/>
      <c r="E1268" s="396"/>
      <c r="F1268" s="105"/>
      <c r="G1268" s="321"/>
      <c r="H1268" s="104"/>
      <c r="I1268" s="417"/>
      <c r="J1268" s="108"/>
      <c r="K1268" s="106"/>
      <c r="L1268" s="321"/>
    </row>
    <row r="1269" spans="1:12">
      <c r="A1269" s="290"/>
      <c r="B1269" s="314" t="s">
        <v>16</v>
      </c>
      <c r="C1269" s="315" t="s">
        <v>111</v>
      </c>
      <c r="D1269" s="315"/>
      <c r="E1269" s="406"/>
      <c r="F1269" s="316"/>
      <c r="G1269" s="314"/>
      <c r="H1269" s="315"/>
      <c r="I1269" s="426">
        <v>1</v>
      </c>
      <c r="J1269" s="317"/>
      <c r="K1269" s="318"/>
      <c r="L1269" s="332" t="s">
        <v>1769</v>
      </c>
    </row>
    <row r="1270" spans="1:12">
      <c r="A1270" s="290"/>
      <c r="B1270" s="314"/>
      <c r="C1270" s="296"/>
      <c r="D1270" s="296" t="s">
        <v>111</v>
      </c>
      <c r="E1270" s="303" t="s">
        <v>1302</v>
      </c>
      <c r="F1270" s="297"/>
      <c r="G1270" s="298"/>
      <c r="H1270" s="296"/>
      <c r="I1270" s="309">
        <v>1</v>
      </c>
      <c r="J1270" s="299"/>
      <c r="K1270" s="300"/>
      <c r="L1270" s="301" t="s">
        <v>1770</v>
      </c>
    </row>
    <row r="1271" spans="1:12">
      <c r="A1271" s="290"/>
      <c r="B1271" s="314"/>
      <c r="C1271" s="296"/>
      <c r="D1271" s="296"/>
      <c r="E1271" s="303"/>
      <c r="F1271" s="297" t="s">
        <v>1305</v>
      </c>
      <c r="G1271" s="298" t="s">
        <v>999</v>
      </c>
      <c r="H1271" s="296"/>
      <c r="I1271" s="309">
        <v>25</v>
      </c>
      <c r="J1271" s="299"/>
      <c r="K1271" s="300"/>
      <c r="L1271" s="301" t="s">
        <v>1771</v>
      </c>
    </row>
    <row r="1272" spans="1:12">
      <c r="A1272" s="290"/>
      <c r="B1272" s="314"/>
      <c r="C1272" s="296"/>
      <c r="D1272" s="296"/>
      <c r="E1272" s="303"/>
      <c r="F1272" s="297" t="s">
        <v>1317</v>
      </c>
      <c r="G1272" s="298" t="s">
        <v>1218</v>
      </c>
      <c r="H1272" s="296"/>
      <c r="I1272" s="309">
        <v>1</v>
      </c>
      <c r="J1272" s="299"/>
      <c r="K1272" s="300"/>
      <c r="L1272" s="301" t="s">
        <v>1772</v>
      </c>
    </row>
    <row r="1273" spans="1:12">
      <c r="A1273" s="290"/>
      <c r="B1273" s="314"/>
      <c r="C1273" s="296"/>
      <c r="D1273" s="296"/>
      <c r="E1273" s="303"/>
      <c r="F1273" s="297" t="s">
        <v>1317</v>
      </c>
      <c r="G1273" s="298" t="s">
        <v>1206</v>
      </c>
      <c r="H1273" s="296"/>
      <c r="I1273" s="309">
        <v>1</v>
      </c>
      <c r="J1273" s="299"/>
      <c r="K1273" s="300"/>
      <c r="L1273" s="301" t="s">
        <v>1773</v>
      </c>
    </row>
    <row r="1274" spans="1:12">
      <c r="A1274" s="290"/>
      <c r="B1274" s="314"/>
      <c r="C1274" s="296"/>
      <c r="D1274" s="296"/>
      <c r="E1274" s="303"/>
      <c r="F1274" s="297" t="s">
        <v>1317</v>
      </c>
      <c r="G1274" s="298" t="s">
        <v>1199</v>
      </c>
      <c r="H1274" s="296" t="s">
        <v>2850</v>
      </c>
      <c r="I1274" s="309">
        <v>1</v>
      </c>
      <c r="J1274" s="299"/>
      <c r="K1274" s="300"/>
      <c r="L1274" s="301" t="s">
        <v>2258</v>
      </c>
    </row>
    <row r="1275" spans="1:12">
      <c r="A1275" s="290"/>
      <c r="B1275" s="314"/>
      <c r="C1275" s="296"/>
      <c r="D1275" s="296"/>
      <c r="E1275" s="303"/>
      <c r="F1275" s="297" t="s">
        <v>1317</v>
      </c>
      <c r="G1275" s="298" t="s">
        <v>1025</v>
      </c>
      <c r="H1275" s="296"/>
      <c r="I1275" s="309">
        <v>1</v>
      </c>
      <c r="J1275" s="299"/>
      <c r="K1275" s="300"/>
      <c r="L1275" s="301" t="s">
        <v>2823</v>
      </c>
    </row>
    <row r="1276" spans="1:12">
      <c r="A1276" s="290"/>
      <c r="B1276" s="314"/>
      <c r="C1276" s="296"/>
      <c r="D1276" s="296"/>
      <c r="E1276" s="303"/>
      <c r="F1276" s="297" t="s">
        <v>1309</v>
      </c>
      <c r="G1276" s="298" t="s">
        <v>1228</v>
      </c>
      <c r="H1276" s="296"/>
      <c r="I1276" s="309">
        <v>4</v>
      </c>
      <c r="J1276" s="299"/>
      <c r="K1276" s="300"/>
      <c r="L1276" s="301" t="s">
        <v>2835</v>
      </c>
    </row>
    <row r="1277" spans="1:12">
      <c r="A1277" s="290"/>
      <c r="B1277" s="314"/>
      <c r="C1277" s="296"/>
      <c r="D1277" s="296"/>
      <c r="E1277" s="303"/>
      <c r="F1277" s="297" t="s">
        <v>1309</v>
      </c>
      <c r="G1277" s="298" t="s">
        <v>1230</v>
      </c>
      <c r="H1277" s="296"/>
      <c r="I1277" s="309">
        <v>4</v>
      </c>
      <c r="J1277" s="299"/>
      <c r="K1277" s="300"/>
      <c r="L1277" s="301" t="s">
        <v>2836</v>
      </c>
    </row>
    <row r="1278" spans="1:12">
      <c r="A1278" s="290"/>
      <c r="B1278" s="314"/>
      <c r="C1278" s="296"/>
      <c r="D1278" s="296"/>
      <c r="E1278" s="303"/>
      <c r="F1278" s="297" t="s">
        <v>1317</v>
      </c>
      <c r="G1278" s="298" t="s">
        <v>1210</v>
      </c>
      <c r="H1278" s="296"/>
      <c r="I1278" s="309">
        <v>8</v>
      </c>
      <c r="J1278" s="299"/>
      <c r="K1278" s="300"/>
      <c r="L1278" s="301" t="s">
        <v>2837</v>
      </c>
    </row>
    <row r="1279" spans="1:12">
      <c r="A1279" s="290"/>
      <c r="B1279" s="314"/>
      <c r="C1279" s="296"/>
      <c r="D1279" s="296"/>
      <c r="E1279" s="303"/>
      <c r="F1279" s="297" t="s">
        <v>1317</v>
      </c>
      <c r="G1279" s="298" t="s">
        <v>1157</v>
      </c>
      <c r="H1279" s="296" t="s">
        <v>3046</v>
      </c>
      <c r="I1279" s="309">
        <v>1</v>
      </c>
      <c r="J1279" s="299"/>
      <c r="K1279" s="300"/>
      <c r="L1279" s="301" t="s">
        <v>3047</v>
      </c>
    </row>
    <row r="1280" spans="1:12" ht="29.25">
      <c r="A1280" s="102"/>
      <c r="B1280" s="314"/>
      <c r="C1280" s="296"/>
      <c r="D1280" s="307" t="s">
        <v>2271</v>
      </c>
      <c r="E1280" s="303" t="s">
        <v>1302</v>
      </c>
      <c r="F1280" s="297"/>
      <c r="G1280" s="298"/>
      <c r="H1280" s="296"/>
      <c r="I1280" s="309">
        <v>1</v>
      </c>
      <c r="J1280" s="299"/>
      <c r="K1280" s="300"/>
      <c r="L1280" s="301" t="s">
        <v>2270</v>
      </c>
    </row>
    <row r="1281" spans="1:13" ht="15">
      <c r="A1281" s="102"/>
      <c r="B1281" s="314"/>
      <c r="C1281" s="296"/>
      <c r="D1281" s="307"/>
      <c r="E1281" s="303"/>
      <c r="F1281" s="297" t="s">
        <v>1305</v>
      </c>
      <c r="G1281" s="298" t="s">
        <v>1007</v>
      </c>
      <c r="H1281" s="296" t="s">
        <v>2272</v>
      </c>
      <c r="I1281" s="309">
        <v>1</v>
      </c>
      <c r="J1281" s="299"/>
      <c r="K1281" s="300"/>
      <c r="L1281" s="301" t="s">
        <v>2273</v>
      </c>
    </row>
    <row r="1282" spans="1:13" ht="15">
      <c r="A1282" s="102"/>
      <c r="B1282" s="314"/>
      <c r="C1282" s="296"/>
      <c r="D1282" s="307"/>
      <c r="E1282" s="303"/>
      <c r="F1282" s="297" t="s">
        <v>1317</v>
      </c>
      <c r="G1282" s="298" t="s">
        <v>1711</v>
      </c>
      <c r="H1282" s="296"/>
      <c r="I1282" s="309">
        <v>4</v>
      </c>
      <c r="J1282" s="299"/>
      <c r="K1282" s="300"/>
      <c r="L1282" s="301" t="s">
        <v>2274</v>
      </c>
    </row>
    <row r="1283" spans="1:13" ht="15">
      <c r="A1283" s="102"/>
      <c r="B1283" s="314"/>
      <c r="C1283" s="296"/>
      <c r="D1283" s="307"/>
      <c r="E1283" s="303"/>
      <c r="F1283" s="297" t="s">
        <v>1317</v>
      </c>
      <c r="G1283" s="298" t="s">
        <v>1156</v>
      </c>
      <c r="H1283" s="296"/>
      <c r="I1283" s="309">
        <v>1</v>
      </c>
      <c r="J1283" s="299"/>
      <c r="K1283" s="300"/>
      <c r="L1283" s="301" t="s">
        <v>2275</v>
      </c>
    </row>
    <row r="1284" spans="1:13" ht="15">
      <c r="A1284" s="102"/>
      <c r="B1284" s="314"/>
      <c r="C1284" s="296"/>
      <c r="D1284" s="307"/>
      <c r="E1284" s="303"/>
      <c r="F1284" s="297" t="s">
        <v>1309</v>
      </c>
      <c r="G1284" s="298" t="s">
        <v>1228</v>
      </c>
      <c r="H1284" s="296"/>
      <c r="I1284" s="309">
        <v>4</v>
      </c>
      <c r="J1284" s="299"/>
      <c r="K1284" s="300"/>
      <c r="L1284" s="301" t="s">
        <v>2838</v>
      </c>
    </row>
    <row r="1285" spans="1:13" ht="15">
      <c r="A1285" s="102"/>
      <c r="B1285" s="314"/>
      <c r="C1285" s="296"/>
      <c r="D1285" s="307"/>
      <c r="E1285" s="303"/>
      <c r="F1285" s="297" t="s">
        <v>1309</v>
      </c>
      <c r="G1285" s="298" t="s">
        <v>1230</v>
      </c>
      <c r="H1285" s="296"/>
      <c r="I1285" s="309">
        <v>4</v>
      </c>
      <c r="J1285" s="299"/>
      <c r="K1285" s="300"/>
      <c r="L1285" s="301" t="s">
        <v>2839</v>
      </c>
    </row>
    <row r="1286" spans="1:13" ht="15">
      <c r="A1286" s="102"/>
      <c r="B1286" s="314"/>
      <c r="C1286" s="296"/>
      <c r="D1286" s="307"/>
      <c r="E1286" s="303"/>
      <c r="F1286" s="297" t="s">
        <v>1317</v>
      </c>
      <c r="G1286" s="298" t="s">
        <v>1210</v>
      </c>
      <c r="H1286" s="296"/>
      <c r="I1286" s="309">
        <v>8</v>
      </c>
      <c r="J1286" s="299"/>
      <c r="K1286" s="300"/>
      <c r="L1286" s="301" t="s">
        <v>2840</v>
      </c>
    </row>
    <row r="1287" spans="1:13" ht="29.25">
      <c r="A1287" s="102"/>
      <c r="B1287" s="314"/>
      <c r="C1287" s="296"/>
      <c r="D1287" s="307"/>
      <c r="E1287" s="303"/>
      <c r="F1287" s="297" t="s">
        <v>1317</v>
      </c>
      <c r="G1287" s="298" t="s">
        <v>1199</v>
      </c>
      <c r="H1287" s="307" t="s">
        <v>2852</v>
      </c>
      <c r="I1287" s="309">
        <v>1</v>
      </c>
      <c r="J1287" s="299"/>
      <c r="K1287" s="300"/>
      <c r="L1287" s="301" t="s">
        <v>2851</v>
      </c>
    </row>
    <row r="1288" spans="1:13" ht="15">
      <c r="A1288" s="102"/>
      <c r="B1288" s="105"/>
      <c r="C1288" s="105"/>
      <c r="D1288" s="321"/>
      <c r="E1288" s="396"/>
      <c r="F1288" s="105"/>
      <c r="G1288" s="321"/>
      <c r="H1288" s="104"/>
      <c r="I1288" s="417"/>
      <c r="J1288" s="108"/>
      <c r="K1288" s="106"/>
      <c r="L1288" s="321"/>
    </row>
    <row r="1289" spans="1:13">
      <c r="A1289" s="290"/>
      <c r="B1289" s="314" t="s">
        <v>16</v>
      </c>
      <c r="C1289" s="315" t="s">
        <v>26</v>
      </c>
      <c r="D1289" s="315"/>
      <c r="E1289" s="406"/>
      <c r="F1289" s="316"/>
      <c r="G1289" s="314"/>
      <c r="H1289" s="315"/>
      <c r="I1289" s="426">
        <v>2</v>
      </c>
      <c r="J1289" s="317"/>
      <c r="K1289" s="318"/>
      <c r="L1289" s="332" t="s">
        <v>1774</v>
      </c>
    </row>
    <row r="1290" spans="1:13" ht="15">
      <c r="A1290" s="102"/>
      <c r="B1290" s="314"/>
      <c r="C1290" s="296"/>
      <c r="D1290" s="296" t="s">
        <v>3295</v>
      </c>
      <c r="E1290" s="303" t="s">
        <v>1302</v>
      </c>
      <c r="F1290" s="297"/>
      <c r="G1290" s="298"/>
      <c r="H1290" s="296"/>
      <c r="I1290" s="309">
        <v>2</v>
      </c>
      <c r="J1290" s="299"/>
      <c r="K1290" s="300"/>
      <c r="L1290" s="301" t="s">
        <v>2031</v>
      </c>
    </row>
    <row r="1291" spans="1:13" s="333" customFormat="1" ht="15">
      <c r="A1291" s="102"/>
      <c r="B1291" s="314"/>
      <c r="C1291" s="296"/>
      <c r="D1291" s="296"/>
      <c r="E1291" s="303"/>
      <c r="F1291" s="297" t="s">
        <v>1305</v>
      </c>
      <c r="G1291" s="298" t="s">
        <v>1007</v>
      </c>
      <c r="H1291" s="296" t="s">
        <v>1362</v>
      </c>
      <c r="I1291" s="309">
        <v>1</v>
      </c>
      <c r="J1291" s="299"/>
      <c r="K1291" s="300"/>
      <c r="L1291" s="301" t="s">
        <v>2032</v>
      </c>
      <c r="M1291" s="367"/>
    </row>
    <row r="1292" spans="1:13" ht="15">
      <c r="A1292" s="102"/>
      <c r="B1292" s="314"/>
      <c r="C1292" s="296"/>
      <c r="D1292" s="296"/>
      <c r="E1292" s="303"/>
      <c r="F1292" s="297" t="s">
        <v>1317</v>
      </c>
      <c r="G1292" s="298" t="s">
        <v>1157</v>
      </c>
      <c r="H1292" s="296" t="s">
        <v>1339</v>
      </c>
      <c r="I1292" s="309">
        <v>1</v>
      </c>
      <c r="J1292" s="299"/>
      <c r="K1292" s="300"/>
      <c r="L1292" s="301" t="s">
        <v>2033</v>
      </c>
    </row>
    <row r="1293" spans="1:13" ht="15">
      <c r="A1293" s="102"/>
      <c r="B1293" s="314"/>
      <c r="C1293" s="296"/>
      <c r="D1293" s="296"/>
      <c r="E1293" s="303"/>
      <c r="F1293" s="297" t="s">
        <v>1317</v>
      </c>
      <c r="G1293" s="298" t="s">
        <v>1223</v>
      </c>
      <c r="H1293" s="296" t="s">
        <v>2034</v>
      </c>
      <c r="I1293" s="309">
        <v>1</v>
      </c>
      <c r="J1293" s="299"/>
      <c r="K1293" s="300"/>
      <c r="L1293" s="301" t="s">
        <v>2035</v>
      </c>
    </row>
    <row r="1294" spans="1:13" ht="15">
      <c r="A1294" s="102"/>
      <c r="B1294" s="314"/>
      <c r="C1294" s="296"/>
      <c r="D1294" s="296"/>
      <c r="E1294" s="303"/>
      <c r="F1294" s="297" t="s">
        <v>1317</v>
      </c>
      <c r="G1294" s="298" t="s">
        <v>1539</v>
      </c>
      <c r="H1294" s="296" t="s">
        <v>2036</v>
      </c>
      <c r="I1294" s="309">
        <v>1</v>
      </c>
      <c r="J1294" s="299"/>
      <c r="K1294" s="300"/>
      <c r="L1294" s="301" t="s">
        <v>2037</v>
      </c>
    </row>
    <row r="1295" spans="1:13" ht="15">
      <c r="A1295" s="102"/>
      <c r="B1295" s="314"/>
      <c r="C1295" s="296"/>
      <c r="D1295" s="296"/>
      <c r="E1295" s="303"/>
      <c r="F1295" s="297" t="s">
        <v>1317</v>
      </c>
      <c r="G1295" s="298" t="s">
        <v>1841</v>
      </c>
      <c r="H1295" s="296" t="s">
        <v>2038</v>
      </c>
      <c r="I1295" s="309">
        <v>1</v>
      </c>
      <c r="J1295" s="299"/>
      <c r="K1295" s="300"/>
      <c r="L1295" s="301" t="s">
        <v>2039</v>
      </c>
    </row>
    <row r="1296" spans="1:13" ht="15">
      <c r="A1296" s="102"/>
      <c r="B1296" s="314"/>
      <c r="C1296" s="296"/>
      <c r="D1296" s="296"/>
      <c r="E1296" s="303"/>
      <c r="F1296" s="297" t="s">
        <v>1317</v>
      </c>
      <c r="G1296" s="298" t="s">
        <v>1841</v>
      </c>
      <c r="H1296" s="296" t="s">
        <v>2040</v>
      </c>
      <c r="I1296" s="309">
        <v>1</v>
      </c>
      <c r="J1296" s="299"/>
      <c r="K1296" s="300"/>
      <c r="L1296" s="301" t="s">
        <v>2041</v>
      </c>
    </row>
    <row r="1297" spans="1:12" ht="15">
      <c r="A1297" s="102"/>
      <c r="B1297" s="314"/>
      <c r="C1297" s="296"/>
      <c r="D1297" s="296"/>
      <c r="E1297" s="303"/>
      <c r="F1297" s="297" t="s">
        <v>1317</v>
      </c>
      <c r="G1297" s="298" t="s">
        <v>1199</v>
      </c>
      <c r="H1297" s="296" t="s">
        <v>2854</v>
      </c>
      <c r="I1297" s="309">
        <v>2</v>
      </c>
      <c r="J1297" s="299"/>
      <c r="K1297" s="300"/>
      <c r="L1297" s="301" t="s">
        <v>2853</v>
      </c>
    </row>
    <row r="1298" spans="1:12" ht="15">
      <c r="A1298" s="102"/>
      <c r="B1298" s="314"/>
      <c r="C1298" s="296"/>
      <c r="D1298" s="296" t="s">
        <v>2042</v>
      </c>
      <c r="E1298" s="303" t="s">
        <v>1302</v>
      </c>
      <c r="F1298" s="297"/>
      <c r="G1298" s="298"/>
      <c r="H1298" s="296"/>
      <c r="I1298" s="309">
        <v>1</v>
      </c>
      <c r="J1298" s="299"/>
      <c r="K1298" s="300"/>
      <c r="L1298" s="301" t="s">
        <v>2043</v>
      </c>
    </row>
    <row r="1299" spans="1:12" ht="29.25">
      <c r="A1299" s="102"/>
      <c r="B1299" s="314"/>
      <c r="C1299" s="296"/>
      <c r="D1299" s="296"/>
      <c r="E1299" s="303"/>
      <c r="F1299" s="297" t="s">
        <v>1305</v>
      </c>
      <c r="G1299" s="298" t="s">
        <v>999</v>
      </c>
      <c r="H1299" s="307" t="s">
        <v>2276</v>
      </c>
      <c r="I1299" s="309">
        <v>8</v>
      </c>
      <c r="J1299" s="299"/>
      <c r="K1299" s="300"/>
      <c r="L1299" s="301" t="s">
        <v>2044</v>
      </c>
    </row>
    <row r="1300" spans="1:12" ht="15">
      <c r="A1300" s="102"/>
      <c r="B1300" s="314"/>
      <c r="C1300" s="296"/>
      <c r="D1300" s="296"/>
      <c r="E1300" s="303"/>
      <c r="F1300" s="297" t="s">
        <v>1317</v>
      </c>
      <c r="G1300" s="298" t="s">
        <v>1413</v>
      </c>
      <c r="H1300" s="296" t="s">
        <v>2045</v>
      </c>
      <c r="I1300" s="309">
        <v>1</v>
      </c>
      <c r="J1300" s="299"/>
      <c r="K1300" s="300"/>
      <c r="L1300" s="301" t="s">
        <v>2046</v>
      </c>
    </row>
    <row r="1301" spans="1:12" ht="15">
      <c r="A1301" s="102"/>
      <c r="B1301" s="314"/>
      <c r="C1301" s="296"/>
      <c r="D1301" s="296"/>
      <c r="E1301" s="303"/>
      <c r="F1301" s="297" t="s">
        <v>1317</v>
      </c>
      <c r="G1301" s="298" t="s">
        <v>1211</v>
      </c>
      <c r="H1301" s="296" t="s">
        <v>1543</v>
      </c>
      <c r="I1301" s="309">
        <v>1</v>
      </c>
      <c r="J1301" s="299"/>
      <c r="K1301" s="300"/>
      <c r="L1301" s="301" t="s">
        <v>2047</v>
      </c>
    </row>
    <row r="1302" spans="1:12" ht="15">
      <c r="A1302" s="102"/>
      <c r="B1302" s="314"/>
      <c r="C1302" s="296"/>
      <c r="D1302" s="296"/>
      <c r="E1302" s="303"/>
      <c r="F1302" s="297" t="s">
        <v>1317</v>
      </c>
      <c r="G1302" s="298" t="s">
        <v>1544</v>
      </c>
      <c r="H1302" s="296" t="s">
        <v>2048</v>
      </c>
      <c r="I1302" s="309">
        <v>1</v>
      </c>
      <c r="J1302" s="299"/>
      <c r="K1302" s="300"/>
      <c r="L1302" s="301" t="s">
        <v>2049</v>
      </c>
    </row>
    <row r="1303" spans="1:12" ht="15">
      <c r="A1303" s="102"/>
      <c r="B1303" s="314"/>
      <c r="C1303" s="296"/>
      <c r="D1303" s="296"/>
      <c r="E1303" s="303"/>
      <c r="F1303" s="297" t="s">
        <v>1317</v>
      </c>
      <c r="G1303" s="298" t="s">
        <v>1841</v>
      </c>
      <c r="H1303" s="296" t="s">
        <v>2040</v>
      </c>
      <c r="I1303" s="309">
        <v>1</v>
      </c>
      <c r="J1303" s="299"/>
      <c r="K1303" s="300"/>
      <c r="L1303" s="301" t="s">
        <v>2050</v>
      </c>
    </row>
    <row r="1304" spans="1:12" ht="29.25">
      <c r="A1304" s="102"/>
      <c r="B1304" s="314"/>
      <c r="C1304" s="296"/>
      <c r="D1304" s="296" t="s">
        <v>2051</v>
      </c>
      <c r="E1304" s="303" t="s">
        <v>1302</v>
      </c>
      <c r="F1304" s="297"/>
      <c r="G1304" s="298"/>
      <c r="H1304" s="307" t="s">
        <v>3096</v>
      </c>
      <c r="I1304" s="309">
        <v>2</v>
      </c>
      <c r="J1304" s="299"/>
      <c r="K1304" s="300"/>
      <c r="L1304" s="301" t="s">
        <v>2052</v>
      </c>
    </row>
    <row r="1305" spans="1:12" ht="15">
      <c r="A1305" s="102"/>
      <c r="B1305" s="314"/>
      <c r="C1305" s="296"/>
      <c r="D1305" s="296"/>
      <c r="E1305" s="303"/>
      <c r="F1305" s="297" t="s">
        <v>1317</v>
      </c>
      <c r="G1305" s="298" t="s">
        <v>1561</v>
      </c>
      <c r="H1305" s="296" t="s">
        <v>2053</v>
      </c>
      <c r="I1305" s="309">
        <v>2</v>
      </c>
      <c r="J1305" s="299"/>
      <c r="K1305" s="300"/>
      <c r="L1305" s="301" t="s">
        <v>2054</v>
      </c>
    </row>
    <row r="1306" spans="1:12" ht="15">
      <c r="A1306" s="102"/>
      <c r="B1306" s="314"/>
      <c r="C1306" s="296"/>
      <c r="D1306" s="296"/>
      <c r="E1306" s="303"/>
      <c r="F1306" s="297" t="s">
        <v>1317</v>
      </c>
      <c r="G1306" s="298" t="s">
        <v>1206</v>
      </c>
      <c r="H1306" s="296" t="s">
        <v>2055</v>
      </c>
      <c r="I1306" s="309">
        <v>1</v>
      </c>
      <c r="J1306" s="299"/>
      <c r="K1306" s="300"/>
      <c r="L1306" s="301" t="s">
        <v>2056</v>
      </c>
    </row>
    <row r="1307" spans="1:12" ht="15">
      <c r="A1307" s="442"/>
      <c r="B1307" s="443"/>
      <c r="C1307" s="301"/>
      <c r="D1307" s="301"/>
      <c r="E1307" s="303"/>
      <c r="F1307" s="303" t="s">
        <v>1317</v>
      </c>
      <c r="G1307" s="308" t="s">
        <v>1199</v>
      </c>
      <c r="H1307" s="302" t="s">
        <v>2867</v>
      </c>
      <c r="I1307" s="309">
        <v>2</v>
      </c>
      <c r="J1307" s="310"/>
      <c r="K1307" s="311"/>
      <c r="L1307" s="301" t="s">
        <v>2057</v>
      </c>
    </row>
    <row r="1308" spans="1:12" ht="15">
      <c r="A1308" s="102"/>
      <c r="B1308" s="314"/>
      <c r="C1308" s="296"/>
      <c r="D1308" s="296"/>
      <c r="E1308" s="303"/>
      <c r="F1308" s="297" t="s">
        <v>1317</v>
      </c>
      <c r="G1308" s="298" t="s">
        <v>1633</v>
      </c>
      <c r="H1308" s="296" t="s">
        <v>2058</v>
      </c>
      <c r="I1308" s="309">
        <v>1</v>
      </c>
      <c r="J1308" s="299"/>
      <c r="K1308" s="300"/>
      <c r="L1308" s="301" t="s">
        <v>2059</v>
      </c>
    </row>
    <row r="1309" spans="1:12" ht="15">
      <c r="A1309" s="102"/>
      <c r="B1309" s="314"/>
      <c r="C1309" s="296"/>
      <c r="D1309" s="296"/>
      <c r="E1309" s="303"/>
      <c r="F1309" s="297" t="s">
        <v>1317</v>
      </c>
      <c r="G1309" s="298" t="s">
        <v>1199</v>
      </c>
      <c r="H1309" s="296" t="s">
        <v>2875</v>
      </c>
      <c r="I1309" s="309">
        <v>1</v>
      </c>
      <c r="J1309" s="299"/>
      <c r="K1309" s="300"/>
      <c r="L1309" s="301" t="s">
        <v>3089</v>
      </c>
    </row>
    <row r="1310" spans="1:12" ht="15">
      <c r="A1310" s="102"/>
      <c r="B1310" s="314"/>
      <c r="C1310" s="296"/>
      <c r="D1310" s="296"/>
      <c r="E1310" s="303"/>
      <c r="F1310" s="297" t="s">
        <v>1309</v>
      </c>
      <c r="G1310" s="298" t="s">
        <v>1228</v>
      </c>
      <c r="H1310" s="296" t="s">
        <v>2523</v>
      </c>
      <c r="I1310" s="309">
        <v>2</v>
      </c>
      <c r="J1310" s="299"/>
      <c r="K1310" s="300"/>
      <c r="L1310" s="301" t="s">
        <v>3090</v>
      </c>
    </row>
    <row r="1311" spans="1:12" ht="15">
      <c r="A1311" s="102"/>
      <c r="B1311" s="314"/>
      <c r="C1311" s="296"/>
      <c r="D1311" s="296"/>
      <c r="E1311" s="303"/>
      <c r="F1311" s="297" t="s">
        <v>1309</v>
      </c>
      <c r="G1311" s="298" t="s">
        <v>1230</v>
      </c>
      <c r="H1311" s="296" t="s">
        <v>2034</v>
      </c>
      <c r="I1311" s="309">
        <v>2</v>
      </c>
      <c r="J1311" s="299"/>
      <c r="K1311" s="300"/>
      <c r="L1311" s="301" t="s">
        <v>3091</v>
      </c>
    </row>
    <row r="1312" spans="1:12" ht="15">
      <c r="A1312" s="102"/>
      <c r="B1312" s="314"/>
      <c r="C1312" s="296"/>
      <c r="D1312" s="296"/>
      <c r="E1312" s="303"/>
      <c r="F1312" s="297" t="s">
        <v>1309</v>
      </c>
      <c r="G1312" s="298" t="s">
        <v>1235</v>
      </c>
      <c r="H1312" s="296" t="s">
        <v>2034</v>
      </c>
      <c r="I1312" s="309">
        <v>2</v>
      </c>
      <c r="J1312" s="299"/>
      <c r="K1312" s="300"/>
      <c r="L1312" s="301" t="s">
        <v>3092</v>
      </c>
    </row>
    <row r="1313" spans="1:12" ht="15">
      <c r="A1313" s="102"/>
      <c r="B1313" s="314"/>
      <c r="C1313" s="296"/>
      <c r="D1313" s="296"/>
      <c r="E1313" s="303"/>
      <c r="F1313" s="297" t="s">
        <v>1317</v>
      </c>
      <c r="G1313" s="298" t="s">
        <v>1199</v>
      </c>
      <c r="H1313" s="296" t="s">
        <v>3093</v>
      </c>
      <c r="I1313" s="309">
        <v>1</v>
      </c>
      <c r="J1313" s="299"/>
      <c r="K1313" s="300"/>
      <c r="L1313" s="301" t="s">
        <v>3094</v>
      </c>
    </row>
    <row r="1314" spans="1:12" ht="15">
      <c r="A1314" s="102"/>
      <c r="B1314" s="314"/>
      <c r="C1314" s="296"/>
      <c r="D1314" s="296"/>
      <c r="E1314" s="303"/>
      <c r="F1314" s="297" t="s">
        <v>1317</v>
      </c>
      <c r="G1314" s="298" t="s">
        <v>1210</v>
      </c>
      <c r="H1314" s="296"/>
      <c r="I1314" s="309">
        <v>2</v>
      </c>
      <c r="J1314" s="299"/>
      <c r="K1314" s="300"/>
      <c r="L1314" s="301" t="s">
        <v>3095</v>
      </c>
    </row>
    <row r="1315" spans="1:12" ht="29.25">
      <c r="A1315" s="102"/>
      <c r="B1315" s="314"/>
      <c r="C1315" s="296"/>
      <c r="D1315" s="307" t="s">
        <v>2869</v>
      </c>
      <c r="E1315" s="303" t="s">
        <v>1311</v>
      </c>
      <c r="F1315" s="297"/>
      <c r="G1315" s="298"/>
      <c r="H1315" s="296"/>
      <c r="I1315" s="309">
        <v>1</v>
      </c>
      <c r="J1315" s="299"/>
      <c r="K1315" s="300"/>
      <c r="L1315" s="301" t="s">
        <v>2868</v>
      </c>
    </row>
    <row r="1316" spans="1:12" ht="29.25">
      <c r="A1316" s="102"/>
      <c r="B1316" s="314"/>
      <c r="C1316" s="296"/>
      <c r="D1316" s="307" t="s">
        <v>2871</v>
      </c>
      <c r="E1316" s="303" t="s">
        <v>1311</v>
      </c>
      <c r="F1316" s="297"/>
      <c r="G1316" s="298"/>
      <c r="H1316" s="296"/>
      <c r="I1316" s="309">
        <v>1</v>
      </c>
      <c r="J1316" s="299"/>
      <c r="K1316" s="300"/>
      <c r="L1316" s="301" t="s">
        <v>2870</v>
      </c>
    </row>
    <row r="1317" spans="1:12" ht="15">
      <c r="A1317" s="102"/>
      <c r="B1317" s="105"/>
      <c r="C1317" s="105"/>
      <c r="D1317" s="321"/>
      <c r="E1317" s="396"/>
      <c r="F1317" s="105"/>
      <c r="G1317" s="321"/>
      <c r="H1317" s="104"/>
      <c r="I1317" s="417"/>
      <c r="J1317" s="108"/>
      <c r="K1317" s="106"/>
      <c r="L1317" s="321"/>
    </row>
    <row r="1318" spans="1:12" ht="18">
      <c r="A1318" s="158" t="s">
        <v>37</v>
      </c>
      <c r="B1318" s="105"/>
      <c r="C1318" s="105"/>
      <c r="D1318" s="321"/>
      <c r="E1318" s="396"/>
      <c r="F1318" s="105"/>
      <c r="G1318" s="321"/>
      <c r="H1318" s="159" t="s">
        <v>1247</v>
      </c>
      <c r="I1318" s="414">
        <v>1</v>
      </c>
      <c r="J1318" s="134">
        <v>0</v>
      </c>
      <c r="K1318" s="161">
        <f>J1318*I1318</f>
        <v>0</v>
      </c>
      <c r="L1318" s="321"/>
    </row>
    <row r="1319" spans="1:12" ht="15">
      <c r="A1319" s="102"/>
      <c r="B1319" s="105"/>
      <c r="C1319" s="105"/>
      <c r="D1319" s="333"/>
      <c r="E1319" s="396"/>
      <c r="F1319" s="105"/>
      <c r="G1319" s="321"/>
      <c r="H1319" s="104"/>
      <c r="I1319" s="417"/>
      <c r="J1319" s="108"/>
      <c r="K1319" s="106"/>
      <c r="L1319" s="321"/>
    </row>
    <row r="1320" spans="1:12">
      <c r="A1320" s="101"/>
      <c r="B1320" s="285" t="s">
        <v>9</v>
      </c>
      <c r="C1320" s="286" t="s">
        <v>113</v>
      </c>
      <c r="D1320" s="334"/>
      <c r="E1320" s="407"/>
      <c r="F1320" s="287"/>
      <c r="G1320" s="334"/>
      <c r="H1320" s="286"/>
      <c r="I1320" s="427">
        <v>1</v>
      </c>
      <c r="J1320" s="288"/>
      <c r="K1320" s="289"/>
      <c r="L1320" s="334" t="s">
        <v>1524</v>
      </c>
    </row>
    <row r="1321" spans="1:12">
      <c r="A1321" s="101"/>
      <c r="B1321" s="285"/>
      <c r="C1321" s="256"/>
      <c r="D1321" s="330" t="s">
        <v>1523</v>
      </c>
      <c r="E1321" s="304" t="s">
        <v>1302</v>
      </c>
      <c r="F1321" s="197"/>
      <c r="G1321" s="330"/>
      <c r="H1321" s="256"/>
      <c r="I1321" s="306">
        <v>2</v>
      </c>
      <c r="J1321" s="257"/>
      <c r="K1321" s="258"/>
      <c r="L1321" s="330" t="s">
        <v>1525</v>
      </c>
    </row>
    <row r="1322" spans="1:12">
      <c r="A1322" s="101"/>
      <c r="B1322" s="285"/>
      <c r="C1322" s="256"/>
      <c r="D1322" s="330"/>
      <c r="E1322" s="304"/>
      <c r="F1322" s="197" t="s">
        <v>1305</v>
      </c>
      <c r="G1322" s="330" t="s">
        <v>1007</v>
      </c>
      <c r="H1322" s="256" t="s">
        <v>1362</v>
      </c>
      <c r="I1322" s="306">
        <v>1</v>
      </c>
      <c r="J1322" s="257">
        <v>3.98</v>
      </c>
      <c r="K1322" s="258" t="s">
        <v>3849</v>
      </c>
      <c r="L1322" s="330" t="s">
        <v>1526</v>
      </c>
    </row>
    <row r="1323" spans="1:12">
      <c r="A1323" s="101"/>
      <c r="B1323" s="285"/>
      <c r="C1323" s="256"/>
      <c r="D1323" s="330"/>
      <c r="E1323" s="304"/>
      <c r="F1323" s="197" t="s">
        <v>1317</v>
      </c>
      <c r="G1323" s="330" t="s">
        <v>1157</v>
      </c>
      <c r="H1323" s="256" t="s">
        <v>1369</v>
      </c>
      <c r="I1323" s="306">
        <v>1</v>
      </c>
      <c r="J1323" s="257">
        <v>20.98</v>
      </c>
      <c r="K1323" s="258" t="s">
        <v>3850</v>
      </c>
      <c r="L1323" s="330" t="s">
        <v>1527</v>
      </c>
    </row>
    <row r="1324" spans="1:12">
      <c r="A1324" s="101"/>
      <c r="B1324" s="285"/>
      <c r="C1324" s="256"/>
      <c r="D1324" s="330"/>
      <c r="E1324" s="304"/>
      <c r="F1324" s="197" t="s">
        <v>1317</v>
      </c>
      <c r="G1324" s="330" t="s">
        <v>1199</v>
      </c>
      <c r="H1324" s="256" t="s">
        <v>2331</v>
      </c>
      <c r="I1324" s="306">
        <v>1</v>
      </c>
      <c r="J1324" s="257">
        <v>0.65</v>
      </c>
      <c r="K1324" s="258"/>
      <c r="L1324" s="330" t="s">
        <v>2332</v>
      </c>
    </row>
    <row r="1325" spans="1:12">
      <c r="A1325" s="101"/>
      <c r="B1325" s="285"/>
      <c r="C1325" s="256"/>
      <c r="D1325" s="330"/>
      <c r="E1325" s="304"/>
      <c r="F1325" s="197" t="s">
        <v>1317</v>
      </c>
      <c r="G1325" s="330" t="s">
        <v>1199</v>
      </c>
      <c r="H1325" s="256" t="s">
        <v>2345</v>
      </c>
      <c r="I1325" s="306">
        <v>1</v>
      </c>
      <c r="J1325" s="257">
        <v>0.65</v>
      </c>
      <c r="K1325" s="258"/>
      <c r="L1325" s="330" t="s">
        <v>2333</v>
      </c>
    </row>
    <row r="1326" spans="1:12">
      <c r="A1326" s="101"/>
      <c r="B1326" s="285"/>
      <c r="C1326" s="256"/>
      <c r="D1326" s="330"/>
      <c r="E1326" s="304"/>
      <c r="F1326" s="197" t="s">
        <v>1309</v>
      </c>
      <c r="G1326" s="330" t="s">
        <v>1228</v>
      </c>
      <c r="H1326" s="256" t="s">
        <v>3851</v>
      </c>
      <c r="I1326" s="306">
        <v>2</v>
      </c>
      <c r="J1326" s="257">
        <v>0.25</v>
      </c>
      <c r="K1326" s="258" t="s">
        <v>3853</v>
      </c>
      <c r="L1326" s="330" t="s">
        <v>2335</v>
      </c>
    </row>
    <row r="1327" spans="1:12">
      <c r="A1327" s="101"/>
      <c r="B1327" s="285"/>
      <c r="C1327" s="256"/>
      <c r="D1327" s="330"/>
      <c r="E1327" s="304"/>
      <c r="F1327" s="197" t="s">
        <v>1309</v>
      </c>
      <c r="G1327" s="330" t="s">
        <v>1228</v>
      </c>
      <c r="H1327" s="256" t="s">
        <v>3852</v>
      </c>
      <c r="I1327" s="306">
        <v>1</v>
      </c>
      <c r="J1327" s="257">
        <v>0.16</v>
      </c>
      <c r="K1327" s="258" t="s">
        <v>3854</v>
      </c>
      <c r="L1327" s="330" t="s">
        <v>2336</v>
      </c>
    </row>
    <row r="1328" spans="1:12">
      <c r="A1328" s="101"/>
      <c r="B1328" s="285"/>
      <c r="C1328" s="256"/>
      <c r="D1328" s="330"/>
      <c r="E1328" s="304"/>
      <c r="F1328" s="197" t="s">
        <v>1309</v>
      </c>
      <c r="G1328" s="330" t="s">
        <v>1210</v>
      </c>
      <c r="H1328" s="256" t="s">
        <v>1623</v>
      </c>
      <c r="I1328" s="306">
        <v>2</v>
      </c>
      <c r="J1328" s="257">
        <v>0.03</v>
      </c>
      <c r="K1328" s="258"/>
      <c r="L1328" s="330" t="s">
        <v>2337</v>
      </c>
    </row>
    <row r="1329" spans="1:12">
      <c r="A1329" s="101"/>
      <c r="B1329" s="285"/>
      <c r="C1329" s="256"/>
      <c r="D1329" s="330"/>
      <c r="E1329" s="304"/>
      <c r="F1329" s="197" t="s">
        <v>1309</v>
      </c>
      <c r="G1329" s="330" t="s">
        <v>1210</v>
      </c>
      <c r="H1329" s="256" t="s">
        <v>1565</v>
      </c>
      <c r="I1329" s="306">
        <v>4</v>
      </c>
      <c r="J1329" s="257">
        <v>0.33</v>
      </c>
      <c r="K1329" s="258"/>
      <c r="L1329" s="330" t="s">
        <v>2338</v>
      </c>
    </row>
    <row r="1330" spans="1:12">
      <c r="A1330" s="101"/>
      <c r="B1330" s="285"/>
      <c r="C1330" s="256"/>
      <c r="D1330" s="330"/>
      <c r="E1330" s="304"/>
      <c r="F1330" s="197" t="s">
        <v>1309</v>
      </c>
      <c r="G1330" s="330" t="s">
        <v>1230</v>
      </c>
      <c r="H1330" s="256" t="s">
        <v>3855</v>
      </c>
      <c r="I1330" s="306">
        <v>2</v>
      </c>
      <c r="J1330" s="257">
        <v>0.09</v>
      </c>
      <c r="K1330" s="258" t="s">
        <v>3856</v>
      </c>
      <c r="L1330" s="330" t="s">
        <v>2339</v>
      </c>
    </row>
    <row r="1331" spans="1:12">
      <c r="A1331" s="101"/>
      <c r="B1331" s="285"/>
      <c r="C1331" s="256"/>
      <c r="D1331" s="330"/>
      <c r="E1331" s="304"/>
      <c r="F1331" s="197" t="s">
        <v>1309</v>
      </c>
      <c r="G1331" s="330" t="s">
        <v>1230</v>
      </c>
      <c r="H1331" s="256" t="s">
        <v>3857</v>
      </c>
      <c r="I1331" s="306">
        <v>1</v>
      </c>
      <c r="J1331" s="257">
        <v>0.04</v>
      </c>
      <c r="K1331" s="258" t="s">
        <v>3858</v>
      </c>
      <c r="L1331" s="330" t="s">
        <v>2855</v>
      </c>
    </row>
    <row r="1332" spans="1:12">
      <c r="A1332" s="101"/>
      <c r="B1332" s="285"/>
      <c r="C1332" s="256"/>
      <c r="D1332" s="330"/>
      <c r="E1332" s="304"/>
      <c r="F1332" s="197" t="s">
        <v>1317</v>
      </c>
      <c r="G1332" s="330" t="s">
        <v>1199</v>
      </c>
      <c r="H1332" s="256" t="s">
        <v>2340</v>
      </c>
      <c r="I1332" s="306">
        <v>1</v>
      </c>
      <c r="J1332" s="257">
        <v>0.67</v>
      </c>
      <c r="K1332" s="258"/>
      <c r="L1332" s="330" t="s">
        <v>2858</v>
      </c>
    </row>
    <row r="1333" spans="1:12" ht="15">
      <c r="A1333" s="102"/>
      <c r="B1333" s="285"/>
      <c r="C1333" s="256"/>
      <c r="D1333" s="330" t="s">
        <v>1528</v>
      </c>
      <c r="E1333" s="304" t="s">
        <v>1302</v>
      </c>
      <c r="F1333" s="197"/>
      <c r="G1333" s="330"/>
      <c r="H1333" s="256"/>
      <c r="I1333" s="306">
        <v>2</v>
      </c>
      <c r="J1333" s="257"/>
      <c r="K1333" s="258"/>
      <c r="L1333" s="330" t="s">
        <v>1529</v>
      </c>
    </row>
    <row r="1334" spans="1:12" ht="15">
      <c r="A1334" s="102"/>
      <c r="B1334" s="285"/>
      <c r="C1334" s="256"/>
      <c r="D1334" s="330"/>
      <c r="E1334" s="304"/>
      <c r="F1334" s="197" t="s">
        <v>1305</v>
      </c>
      <c r="G1334" s="330" t="s">
        <v>1007</v>
      </c>
      <c r="H1334" s="256" t="s">
        <v>1362</v>
      </c>
      <c r="I1334" s="306">
        <v>1</v>
      </c>
      <c r="J1334" s="257">
        <v>3.48</v>
      </c>
      <c r="K1334" s="258" t="s">
        <v>3859</v>
      </c>
      <c r="L1334" s="330" t="s">
        <v>1530</v>
      </c>
    </row>
    <row r="1335" spans="1:12" ht="15">
      <c r="A1335" s="102"/>
      <c r="B1335" s="285"/>
      <c r="C1335" s="256"/>
      <c r="D1335" s="330"/>
      <c r="E1335" s="304"/>
      <c r="F1335" s="197" t="s">
        <v>1317</v>
      </c>
      <c r="G1335" s="330" t="s">
        <v>1157</v>
      </c>
      <c r="H1335" s="256" t="s">
        <v>1369</v>
      </c>
      <c r="I1335" s="306">
        <v>1</v>
      </c>
      <c r="J1335" s="257">
        <v>19.64</v>
      </c>
      <c r="K1335" s="258" t="s">
        <v>3860</v>
      </c>
      <c r="L1335" s="330" t="s">
        <v>1531</v>
      </c>
    </row>
    <row r="1336" spans="1:12" ht="15">
      <c r="A1336" s="102"/>
      <c r="B1336" s="285"/>
      <c r="C1336" s="256"/>
      <c r="D1336" s="330"/>
      <c r="E1336" s="304"/>
      <c r="F1336" s="197" t="s">
        <v>1317</v>
      </c>
      <c r="G1336" s="330" t="s">
        <v>1199</v>
      </c>
      <c r="H1336" s="256" t="s">
        <v>2340</v>
      </c>
      <c r="I1336" s="306">
        <v>1</v>
      </c>
      <c r="J1336" s="257">
        <v>0.65</v>
      </c>
      <c r="K1336" s="258"/>
      <c r="L1336" s="330" t="s">
        <v>2341</v>
      </c>
    </row>
    <row r="1337" spans="1:12" ht="15">
      <c r="A1337" s="102"/>
      <c r="B1337" s="285"/>
      <c r="C1337" s="256"/>
      <c r="D1337" s="330"/>
      <c r="E1337" s="304"/>
      <c r="F1337" s="197" t="s">
        <v>1317</v>
      </c>
      <c r="G1337" s="330" t="s">
        <v>1199</v>
      </c>
      <c r="H1337" s="256" t="s">
        <v>2331</v>
      </c>
      <c r="I1337" s="306">
        <v>1</v>
      </c>
      <c r="J1337" s="257">
        <v>0.65</v>
      </c>
      <c r="K1337" s="258"/>
      <c r="L1337" s="330" t="s">
        <v>2342</v>
      </c>
    </row>
    <row r="1338" spans="1:12" ht="15">
      <c r="A1338" s="102"/>
      <c r="B1338" s="285"/>
      <c r="C1338" s="256"/>
      <c r="D1338" s="330"/>
      <c r="E1338" s="304"/>
      <c r="F1338" s="197" t="s">
        <v>1317</v>
      </c>
      <c r="G1338" s="330" t="s">
        <v>1199</v>
      </c>
      <c r="H1338" s="256" t="s">
        <v>2343</v>
      </c>
      <c r="I1338" s="306">
        <v>1</v>
      </c>
      <c r="J1338" s="257">
        <v>0.65</v>
      </c>
      <c r="K1338" s="258"/>
      <c r="L1338" s="330" t="s">
        <v>2344</v>
      </c>
    </row>
    <row r="1339" spans="1:12" ht="15">
      <c r="A1339" s="102"/>
      <c r="B1339" s="285"/>
      <c r="C1339" s="256"/>
      <c r="D1339" s="330"/>
      <c r="E1339" s="304"/>
      <c r="F1339" s="197" t="s">
        <v>1309</v>
      </c>
      <c r="G1339" s="330" t="s">
        <v>1228</v>
      </c>
      <c r="H1339" s="256" t="s">
        <v>3851</v>
      </c>
      <c r="I1339" s="306">
        <v>1</v>
      </c>
      <c r="J1339" s="257">
        <v>0.25</v>
      </c>
      <c r="K1339" s="258"/>
      <c r="L1339" s="330" t="s">
        <v>2346</v>
      </c>
    </row>
    <row r="1340" spans="1:12" ht="15">
      <c r="A1340" s="102"/>
      <c r="B1340" s="285"/>
      <c r="C1340" s="256"/>
      <c r="D1340" s="330"/>
      <c r="E1340" s="304"/>
      <c r="F1340" s="197" t="s">
        <v>1309</v>
      </c>
      <c r="G1340" s="330" t="s">
        <v>1228</v>
      </c>
      <c r="H1340" s="256" t="s">
        <v>3861</v>
      </c>
      <c r="I1340" s="306">
        <v>2</v>
      </c>
      <c r="J1340" s="257">
        <v>0.16</v>
      </c>
      <c r="K1340" s="258"/>
      <c r="L1340" s="330" t="s">
        <v>2347</v>
      </c>
    </row>
    <row r="1341" spans="1:12" ht="15">
      <c r="A1341" s="102"/>
      <c r="B1341" s="285"/>
      <c r="C1341" s="256"/>
      <c r="D1341" s="330"/>
      <c r="E1341" s="304"/>
      <c r="F1341" s="197" t="s">
        <v>1309</v>
      </c>
      <c r="G1341" s="330" t="s">
        <v>1210</v>
      </c>
      <c r="H1341" s="256" t="s">
        <v>1623</v>
      </c>
      <c r="I1341" s="306">
        <v>2</v>
      </c>
      <c r="J1341" s="257">
        <v>0.03</v>
      </c>
      <c r="K1341" s="258"/>
      <c r="L1341" s="330" t="s">
        <v>2348</v>
      </c>
    </row>
    <row r="1342" spans="1:12" ht="15">
      <c r="A1342" s="102"/>
      <c r="B1342" s="285"/>
      <c r="C1342" s="256"/>
      <c r="D1342" s="330"/>
      <c r="E1342" s="304"/>
      <c r="F1342" s="197" t="s">
        <v>1309</v>
      </c>
      <c r="G1342" s="330" t="s">
        <v>1210</v>
      </c>
      <c r="H1342" s="256" t="s">
        <v>1565</v>
      </c>
      <c r="I1342" s="306">
        <v>4</v>
      </c>
      <c r="J1342" s="257">
        <v>0.03</v>
      </c>
      <c r="K1342" s="258"/>
      <c r="L1342" s="330" t="s">
        <v>2349</v>
      </c>
    </row>
    <row r="1343" spans="1:12" ht="15">
      <c r="A1343" s="102"/>
      <c r="B1343" s="285"/>
      <c r="C1343" s="256"/>
      <c r="D1343" s="330"/>
      <c r="E1343" s="304"/>
      <c r="F1343" s="197" t="s">
        <v>1309</v>
      </c>
      <c r="G1343" s="330" t="s">
        <v>1230</v>
      </c>
      <c r="H1343" s="256" t="s">
        <v>3857</v>
      </c>
      <c r="I1343" s="306">
        <v>2</v>
      </c>
      <c r="J1343" s="257">
        <v>0.04</v>
      </c>
      <c r="K1343" s="258"/>
      <c r="L1343" s="330" t="s">
        <v>2350</v>
      </c>
    </row>
    <row r="1344" spans="1:12" ht="15">
      <c r="A1344" s="102"/>
      <c r="B1344" s="285"/>
      <c r="C1344" s="256"/>
      <c r="D1344" s="330"/>
      <c r="E1344" s="304"/>
      <c r="F1344" s="197" t="s">
        <v>1309</v>
      </c>
      <c r="G1344" s="330" t="s">
        <v>1230</v>
      </c>
      <c r="H1344" s="256" t="s">
        <v>3855</v>
      </c>
      <c r="I1344" s="306">
        <v>1</v>
      </c>
      <c r="J1344" s="257">
        <v>0.09</v>
      </c>
      <c r="K1344" s="258"/>
      <c r="L1344" s="330" t="s">
        <v>2351</v>
      </c>
    </row>
    <row r="1345" spans="1:12" ht="15">
      <c r="A1345" s="102"/>
      <c r="B1345" s="105"/>
      <c r="C1345" s="105"/>
      <c r="D1345" s="333"/>
      <c r="E1345" s="396"/>
      <c r="F1345" s="105"/>
      <c r="G1345" s="321"/>
      <c r="H1345" s="104"/>
      <c r="I1345" s="417"/>
      <c r="J1345" s="108"/>
      <c r="K1345" s="106"/>
      <c r="L1345" s="321"/>
    </row>
    <row r="1346" spans="1:12" ht="28.5">
      <c r="A1346" s="101"/>
      <c r="B1346" s="285" t="s">
        <v>9</v>
      </c>
      <c r="C1346" s="286" t="s">
        <v>1532</v>
      </c>
      <c r="D1346" s="334"/>
      <c r="E1346" s="407"/>
      <c r="F1346" s="287"/>
      <c r="G1346" s="334"/>
      <c r="H1346" s="432" t="s">
        <v>2856</v>
      </c>
      <c r="I1346" s="427">
        <v>2</v>
      </c>
      <c r="J1346" s="288"/>
      <c r="K1346" s="289"/>
      <c r="L1346" s="334" t="s">
        <v>1533</v>
      </c>
    </row>
    <row r="1347" spans="1:12" ht="27">
      <c r="A1347" s="101"/>
      <c r="B1347" s="285"/>
      <c r="C1347" s="256"/>
      <c r="D1347" s="341" t="s">
        <v>1950</v>
      </c>
      <c r="E1347" s="304" t="s">
        <v>1302</v>
      </c>
      <c r="F1347" s="197"/>
      <c r="G1347" s="330"/>
      <c r="H1347" s="256"/>
      <c r="I1347" s="306">
        <v>1</v>
      </c>
      <c r="J1347" s="257"/>
      <c r="K1347" s="258"/>
      <c r="L1347" s="330" t="s">
        <v>1534</v>
      </c>
    </row>
    <row r="1348" spans="1:12">
      <c r="A1348" s="101"/>
      <c r="B1348" s="285"/>
      <c r="C1348" s="256"/>
      <c r="D1348" s="330"/>
      <c r="E1348" s="304"/>
      <c r="F1348" s="197" t="s">
        <v>1305</v>
      </c>
      <c r="G1348" s="330" t="s">
        <v>1007</v>
      </c>
      <c r="H1348" s="256" t="s">
        <v>1362</v>
      </c>
      <c r="I1348" s="306">
        <v>1</v>
      </c>
      <c r="J1348" s="257">
        <v>2.5499999999999998</v>
      </c>
      <c r="K1348" s="258" t="s">
        <v>3862</v>
      </c>
      <c r="L1348" s="330" t="s">
        <v>1535</v>
      </c>
    </row>
    <row r="1349" spans="1:12">
      <c r="A1349" s="101"/>
      <c r="B1349" s="285"/>
      <c r="C1349" s="256"/>
      <c r="D1349" s="330"/>
      <c r="E1349" s="304"/>
      <c r="F1349" s="197" t="s">
        <v>1317</v>
      </c>
      <c r="G1349" s="330" t="s">
        <v>1157</v>
      </c>
      <c r="H1349" s="256" t="s">
        <v>1536</v>
      </c>
      <c r="I1349" s="306">
        <v>1</v>
      </c>
      <c r="J1349" s="257">
        <v>17.149999999999999</v>
      </c>
      <c r="K1349" s="258" t="s">
        <v>3863</v>
      </c>
      <c r="L1349" s="330" t="s">
        <v>1537</v>
      </c>
    </row>
    <row r="1350" spans="1:12">
      <c r="A1350" s="101"/>
      <c r="B1350" s="285"/>
      <c r="C1350" s="256"/>
      <c r="D1350" s="330"/>
      <c r="E1350" s="304"/>
      <c r="F1350" s="197" t="s">
        <v>1317</v>
      </c>
      <c r="G1350" s="330" t="s">
        <v>1539</v>
      </c>
      <c r="H1350" s="256" t="s">
        <v>1540</v>
      </c>
      <c r="I1350" s="306">
        <v>1</v>
      </c>
      <c r="J1350" s="257">
        <v>5.61</v>
      </c>
      <c r="K1350" s="258" t="s">
        <v>3864</v>
      </c>
      <c r="L1350" s="330" t="s">
        <v>1541</v>
      </c>
    </row>
    <row r="1351" spans="1:12">
      <c r="A1351" s="101"/>
      <c r="B1351" s="285"/>
      <c r="C1351" s="256"/>
      <c r="D1351" s="330"/>
      <c r="E1351" s="304"/>
      <c r="F1351" s="197" t="s">
        <v>1317</v>
      </c>
      <c r="G1351" s="330" t="s">
        <v>1544</v>
      </c>
      <c r="H1351" s="256" t="s">
        <v>1545</v>
      </c>
      <c r="I1351" s="306">
        <v>2</v>
      </c>
      <c r="J1351" s="257">
        <v>0.06</v>
      </c>
      <c r="K1351" s="258"/>
      <c r="L1351" s="330" t="s">
        <v>1546</v>
      </c>
    </row>
    <row r="1352" spans="1:12">
      <c r="A1352" s="101"/>
      <c r="B1352" s="285"/>
      <c r="C1352" s="256"/>
      <c r="D1352" s="330"/>
      <c r="E1352" s="304"/>
      <c r="F1352" s="197" t="s">
        <v>1317</v>
      </c>
      <c r="G1352" s="330" t="s">
        <v>1572</v>
      </c>
      <c r="H1352" s="256" t="s">
        <v>3865</v>
      </c>
      <c r="I1352" s="306">
        <v>1</v>
      </c>
      <c r="J1352" s="257">
        <v>0.17</v>
      </c>
      <c r="K1352" s="258" t="s">
        <v>3864</v>
      </c>
      <c r="L1352" s="330" t="s">
        <v>1576</v>
      </c>
    </row>
    <row r="1353" spans="1:12">
      <c r="A1353" s="101"/>
      <c r="B1353" s="285"/>
      <c r="C1353" s="256"/>
      <c r="D1353" s="330"/>
      <c r="E1353" s="304"/>
      <c r="F1353" s="197" t="s">
        <v>1317</v>
      </c>
      <c r="G1353" s="330" t="s">
        <v>1199</v>
      </c>
      <c r="H1353" s="256" t="s">
        <v>3938</v>
      </c>
      <c r="I1353" s="306">
        <v>1</v>
      </c>
      <c r="J1353" s="257">
        <v>0.65</v>
      </c>
      <c r="K1353" s="258"/>
      <c r="L1353" s="330" t="s">
        <v>2190</v>
      </c>
    </row>
    <row r="1354" spans="1:12" ht="15">
      <c r="A1354" s="102"/>
      <c r="B1354" s="285"/>
      <c r="C1354" s="256"/>
      <c r="D1354" s="305" t="s">
        <v>1951</v>
      </c>
      <c r="E1354" s="304" t="s">
        <v>1302</v>
      </c>
      <c r="F1354" s="197"/>
      <c r="G1354" s="330"/>
      <c r="H1354" s="256" t="s">
        <v>1549</v>
      </c>
      <c r="I1354" s="306">
        <v>1</v>
      </c>
      <c r="J1354" s="257"/>
      <c r="K1354" s="258"/>
      <c r="L1354" s="330" t="s">
        <v>1538</v>
      </c>
    </row>
    <row r="1355" spans="1:12" ht="15">
      <c r="A1355" s="102"/>
      <c r="B1355" s="285"/>
      <c r="C1355" s="256"/>
      <c r="D1355" s="330"/>
      <c r="E1355" s="304"/>
      <c r="F1355" s="197" t="s">
        <v>1305</v>
      </c>
      <c r="G1355" s="330" t="s">
        <v>999</v>
      </c>
      <c r="H1355" s="256" t="s">
        <v>1552</v>
      </c>
      <c r="I1355" s="306">
        <v>5</v>
      </c>
      <c r="J1355" s="257">
        <v>4.08</v>
      </c>
      <c r="K1355" s="258" t="s">
        <v>3866</v>
      </c>
      <c r="L1355" s="330" t="s">
        <v>1551</v>
      </c>
    </row>
    <row r="1356" spans="1:12" ht="15">
      <c r="A1356" s="102"/>
      <c r="B1356" s="285"/>
      <c r="C1356" s="256"/>
      <c r="D1356" s="330"/>
      <c r="E1356" s="304"/>
      <c r="F1356" s="197" t="s">
        <v>1317</v>
      </c>
      <c r="G1356" s="330" t="s">
        <v>1180</v>
      </c>
      <c r="H1356" s="256" t="s">
        <v>1542</v>
      </c>
      <c r="I1356" s="306">
        <v>1</v>
      </c>
      <c r="J1356" s="257">
        <v>0.93</v>
      </c>
      <c r="K1356" s="258"/>
      <c r="L1356" s="330" t="s">
        <v>1558</v>
      </c>
    </row>
    <row r="1357" spans="1:12" ht="15">
      <c r="A1357" s="102"/>
      <c r="B1357" s="285"/>
      <c r="C1357" s="256"/>
      <c r="D1357" s="330"/>
      <c r="E1357" s="304"/>
      <c r="F1357" s="197" t="s">
        <v>1317</v>
      </c>
      <c r="G1357" s="330" t="s">
        <v>1211</v>
      </c>
      <c r="H1357" s="256" t="s">
        <v>1543</v>
      </c>
      <c r="I1357" s="306">
        <v>2</v>
      </c>
      <c r="J1357" s="257">
        <v>0.21</v>
      </c>
      <c r="K1357" s="258" t="s">
        <v>3864</v>
      </c>
      <c r="L1357" s="330" t="s">
        <v>1559</v>
      </c>
    </row>
    <row r="1358" spans="1:12" ht="15">
      <c r="A1358" s="102"/>
      <c r="B1358" s="285"/>
      <c r="C1358" s="256"/>
      <c r="D1358" s="330"/>
      <c r="E1358" s="304"/>
      <c r="F1358" s="197" t="s">
        <v>1317</v>
      </c>
      <c r="G1358" s="330" t="s">
        <v>1544</v>
      </c>
      <c r="H1358" s="256" t="s">
        <v>1557</v>
      </c>
      <c r="I1358" s="306">
        <v>1</v>
      </c>
      <c r="J1358" s="257">
        <v>0.06</v>
      </c>
      <c r="K1358" s="258"/>
      <c r="L1358" s="330" t="s">
        <v>1560</v>
      </c>
    </row>
    <row r="1359" spans="1:12" ht="15">
      <c r="A1359" s="102"/>
      <c r="B1359" s="285"/>
      <c r="C1359" s="256"/>
      <c r="D1359" s="330"/>
      <c r="E1359" s="304"/>
      <c r="F1359" s="197" t="s">
        <v>1317</v>
      </c>
      <c r="G1359" s="330" t="s">
        <v>1572</v>
      </c>
      <c r="H1359" s="256" t="s">
        <v>1571</v>
      </c>
      <c r="I1359" s="306">
        <v>1</v>
      </c>
      <c r="J1359" s="257">
        <v>0.17</v>
      </c>
      <c r="K1359" s="258" t="s">
        <v>3864</v>
      </c>
      <c r="L1359" s="330" t="s">
        <v>1573</v>
      </c>
    </row>
    <row r="1360" spans="1:12" ht="29.25">
      <c r="A1360" s="102"/>
      <c r="B1360" s="285"/>
      <c r="C1360" s="256"/>
      <c r="D1360" s="330"/>
      <c r="E1360" s="304"/>
      <c r="F1360" s="304" t="s">
        <v>1317</v>
      </c>
      <c r="G1360" s="330" t="s">
        <v>1199</v>
      </c>
      <c r="H1360" s="385" t="s">
        <v>2857</v>
      </c>
      <c r="I1360" s="306">
        <v>2</v>
      </c>
      <c r="J1360" s="257">
        <v>0.65</v>
      </c>
      <c r="K1360" s="258"/>
      <c r="L1360" s="330" t="s">
        <v>2188</v>
      </c>
    </row>
    <row r="1361" spans="1:12" ht="15">
      <c r="A1361" s="102"/>
      <c r="B1361" s="285"/>
      <c r="C1361" s="256"/>
      <c r="D1361" s="305" t="s">
        <v>1952</v>
      </c>
      <c r="E1361" s="304" t="s">
        <v>1302</v>
      </c>
      <c r="F1361" s="197"/>
      <c r="G1361" s="330"/>
      <c r="H1361" s="256" t="s">
        <v>1550</v>
      </c>
      <c r="I1361" s="306">
        <v>1</v>
      </c>
      <c r="J1361" s="257"/>
      <c r="K1361" s="258"/>
      <c r="L1361" s="330" t="s">
        <v>1547</v>
      </c>
    </row>
    <row r="1362" spans="1:12" ht="15">
      <c r="A1362" s="102"/>
      <c r="B1362" s="285"/>
      <c r="C1362" s="256"/>
      <c r="D1362" s="330"/>
      <c r="E1362" s="304"/>
      <c r="F1362" s="197" t="s">
        <v>1305</v>
      </c>
      <c r="G1362" s="330" t="s">
        <v>999</v>
      </c>
      <c r="H1362" s="256" t="s">
        <v>1553</v>
      </c>
      <c r="I1362" s="306">
        <v>1</v>
      </c>
      <c r="J1362" s="257">
        <v>6.35</v>
      </c>
      <c r="K1362" s="258" t="s">
        <v>3867</v>
      </c>
      <c r="L1362" s="330" t="s">
        <v>1548</v>
      </c>
    </row>
    <row r="1363" spans="1:12" ht="15">
      <c r="A1363" s="102"/>
      <c r="B1363" s="285"/>
      <c r="C1363" s="256"/>
      <c r="D1363" s="330"/>
      <c r="E1363" s="304"/>
      <c r="F1363" s="197" t="s">
        <v>1317</v>
      </c>
      <c r="G1363" s="330" t="s">
        <v>1180</v>
      </c>
      <c r="H1363" s="256" t="s">
        <v>1542</v>
      </c>
      <c r="I1363" s="306">
        <v>1</v>
      </c>
      <c r="J1363" s="257">
        <v>0.93</v>
      </c>
      <c r="K1363" s="258"/>
      <c r="L1363" s="330" t="s">
        <v>1554</v>
      </c>
    </row>
    <row r="1364" spans="1:12" ht="15">
      <c r="A1364" s="102"/>
      <c r="B1364" s="285"/>
      <c r="C1364" s="256"/>
      <c r="D1364" s="330"/>
      <c r="E1364" s="304"/>
      <c r="F1364" s="197" t="s">
        <v>1317</v>
      </c>
      <c r="G1364" s="330" t="s">
        <v>1211</v>
      </c>
      <c r="H1364" s="256" t="s">
        <v>1543</v>
      </c>
      <c r="I1364" s="306">
        <v>2</v>
      </c>
      <c r="J1364" s="257">
        <v>0.21</v>
      </c>
      <c r="K1364" s="258" t="s">
        <v>3864</v>
      </c>
      <c r="L1364" s="330" t="s">
        <v>1555</v>
      </c>
    </row>
    <row r="1365" spans="1:12" ht="15">
      <c r="A1365" s="102"/>
      <c r="B1365" s="285"/>
      <c r="C1365" s="256"/>
      <c r="D1365" s="330"/>
      <c r="E1365" s="304"/>
      <c r="F1365" s="197" t="s">
        <v>1317</v>
      </c>
      <c r="G1365" s="330" t="s">
        <v>1544</v>
      </c>
      <c r="H1365" s="256" t="s">
        <v>1557</v>
      </c>
      <c r="I1365" s="306">
        <v>1</v>
      </c>
      <c r="J1365" s="257">
        <v>0.06</v>
      </c>
      <c r="K1365" s="258"/>
      <c r="L1365" s="330" t="s">
        <v>1556</v>
      </c>
    </row>
    <row r="1366" spans="1:12" ht="15">
      <c r="A1366" s="102"/>
      <c r="B1366" s="285"/>
      <c r="C1366" s="256"/>
      <c r="D1366" s="330"/>
      <c r="E1366" s="304"/>
      <c r="F1366" s="197" t="s">
        <v>1317</v>
      </c>
      <c r="G1366" s="330" t="s">
        <v>1572</v>
      </c>
      <c r="H1366" s="256" t="s">
        <v>1571</v>
      </c>
      <c r="I1366" s="306">
        <v>1</v>
      </c>
      <c r="J1366" s="257">
        <v>0.17</v>
      </c>
      <c r="K1366" s="258" t="s">
        <v>3864</v>
      </c>
      <c r="L1366" s="330" t="s">
        <v>1574</v>
      </c>
    </row>
    <row r="1367" spans="1:12" ht="29.25">
      <c r="A1367" s="102"/>
      <c r="B1367" s="285"/>
      <c r="C1367" s="256"/>
      <c r="D1367" s="330"/>
      <c r="E1367" s="304"/>
      <c r="F1367" s="197" t="s">
        <v>1317</v>
      </c>
      <c r="G1367" s="330" t="s">
        <v>1199</v>
      </c>
      <c r="H1367" s="385" t="s">
        <v>2857</v>
      </c>
      <c r="I1367" s="306">
        <v>2</v>
      </c>
      <c r="J1367" s="257">
        <v>0.65</v>
      </c>
      <c r="K1367" s="258"/>
      <c r="L1367" s="330" t="s">
        <v>2189</v>
      </c>
    </row>
    <row r="1368" spans="1:12" ht="15">
      <c r="A1368" s="102"/>
      <c r="B1368" s="285"/>
      <c r="C1368" s="256"/>
      <c r="D1368" s="305" t="s">
        <v>1953</v>
      </c>
      <c r="E1368" s="304" t="s">
        <v>1302</v>
      </c>
      <c r="F1368" s="197"/>
      <c r="G1368" s="330"/>
      <c r="H1368" s="256"/>
      <c r="I1368" s="306">
        <v>2</v>
      </c>
      <c r="J1368" s="257"/>
      <c r="K1368" s="258"/>
      <c r="L1368" s="330" t="s">
        <v>1562</v>
      </c>
    </row>
    <row r="1369" spans="1:12" ht="15">
      <c r="A1369" s="102"/>
      <c r="B1369" s="285"/>
      <c r="C1369" s="256"/>
      <c r="D1369" s="330"/>
      <c r="E1369" s="304"/>
      <c r="F1369" s="197" t="s">
        <v>1305</v>
      </c>
      <c r="G1369" s="330" t="s">
        <v>1007</v>
      </c>
      <c r="H1369" s="256" t="s">
        <v>1362</v>
      </c>
      <c r="I1369" s="306">
        <v>1</v>
      </c>
      <c r="J1369" s="257">
        <v>0.11</v>
      </c>
      <c r="K1369" s="258" t="s">
        <v>3868</v>
      </c>
      <c r="L1369" s="330" t="s">
        <v>1563</v>
      </c>
    </row>
    <row r="1370" spans="1:12" ht="15">
      <c r="A1370" s="102"/>
      <c r="B1370" s="285"/>
      <c r="C1370" s="256"/>
      <c r="D1370" s="330"/>
      <c r="E1370" s="304"/>
      <c r="F1370" s="197" t="s">
        <v>1317</v>
      </c>
      <c r="G1370" s="330" t="s">
        <v>1157</v>
      </c>
      <c r="H1370" s="256" t="s">
        <v>1339</v>
      </c>
      <c r="I1370" s="306">
        <v>1</v>
      </c>
      <c r="J1370" s="257">
        <v>0.57999999999999996</v>
      </c>
      <c r="K1370" s="258" t="s">
        <v>3869</v>
      </c>
      <c r="L1370" s="330" t="s">
        <v>1564</v>
      </c>
    </row>
    <row r="1371" spans="1:12" ht="15">
      <c r="A1371" s="102"/>
      <c r="B1371" s="285"/>
      <c r="C1371" s="256"/>
      <c r="D1371" s="330"/>
      <c r="E1371" s="304"/>
      <c r="F1371" s="197" t="s">
        <v>1317</v>
      </c>
      <c r="G1371" s="330" t="s">
        <v>1222</v>
      </c>
      <c r="H1371" s="256" t="s">
        <v>1565</v>
      </c>
      <c r="I1371" s="306">
        <v>1</v>
      </c>
      <c r="J1371" s="257">
        <v>0.56000000000000005</v>
      </c>
      <c r="K1371" s="258"/>
      <c r="L1371" s="330" t="s">
        <v>1566</v>
      </c>
    </row>
    <row r="1372" spans="1:12" ht="15">
      <c r="A1372" s="102"/>
      <c r="B1372" s="285"/>
      <c r="C1372" s="256"/>
      <c r="D1372" s="330"/>
      <c r="E1372" s="304"/>
      <c r="F1372" s="197" t="s">
        <v>1317</v>
      </c>
      <c r="G1372" s="330" t="s">
        <v>1539</v>
      </c>
      <c r="H1372" s="256" t="s">
        <v>1540</v>
      </c>
      <c r="I1372" s="306">
        <v>1</v>
      </c>
      <c r="J1372" s="257">
        <v>2.81</v>
      </c>
      <c r="K1372" s="258" t="s">
        <v>3870</v>
      </c>
      <c r="L1372" s="330" t="s">
        <v>1568</v>
      </c>
    </row>
    <row r="1373" spans="1:12" ht="15">
      <c r="A1373" s="102"/>
      <c r="B1373" s="285"/>
      <c r="C1373" s="256"/>
      <c r="D1373" s="330"/>
      <c r="E1373" s="304"/>
      <c r="F1373" s="197" t="s">
        <v>1317</v>
      </c>
      <c r="G1373" s="330" t="s">
        <v>1572</v>
      </c>
      <c r="H1373" s="256" t="s">
        <v>1571</v>
      </c>
      <c r="I1373" s="306">
        <v>1</v>
      </c>
      <c r="J1373" s="257">
        <v>0.02</v>
      </c>
      <c r="K1373" s="258" t="s">
        <v>3870</v>
      </c>
      <c r="L1373" s="330" t="s">
        <v>1577</v>
      </c>
    </row>
    <row r="1374" spans="1:12" ht="15">
      <c r="A1374" s="102"/>
      <c r="B1374" s="285"/>
      <c r="C1374" s="256"/>
      <c r="D1374" s="330"/>
      <c r="E1374" s="304"/>
      <c r="F1374" s="197" t="s">
        <v>1317</v>
      </c>
      <c r="G1374" s="330" t="s">
        <v>1199</v>
      </c>
      <c r="H1374" s="256" t="s">
        <v>2192</v>
      </c>
      <c r="I1374" s="306">
        <v>1</v>
      </c>
      <c r="J1374" s="257">
        <v>0.65</v>
      </c>
      <c r="K1374" s="258"/>
      <c r="L1374" s="330" t="s">
        <v>2191</v>
      </c>
    </row>
    <row r="1375" spans="1:12" ht="29.25">
      <c r="A1375" s="102"/>
      <c r="B1375" s="285"/>
      <c r="C1375" s="256"/>
      <c r="D1375" s="330"/>
      <c r="E1375" s="304"/>
      <c r="F1375" s="197" t="s">
        <v>1317</v>
      </c>
      <c r="G1375" s="330" t="s">
        <v>1199</v>
      </c>
      <c r="H1375" s="385" t="s">
        <v>2352</v>
      </c>
      <c r="I1375" s="306">
        <v>1</v>
      </c>
      <c r="J1375" s="257">
        <v>0.65</v>
      </c>
      <c r="K1375" s="258"/>
      <c r="L1375" s="330" t="s">
        <v>2197</v>
      </c>
    </row>
    <row r="1376" spans="1:12" ht="15">
      <c r="A1376" s="102"/>
      <c r="B1376" s="285"/>
      <c r="C1376" s="256"/>
      <c r="D1376" s="330"/>
      <c r="E1376" s="304"/>
      <c r="F1376" s="197" t="s">
        <v>1317</v>
      </c>
      <c r="G1376" s="330" t="s">
        <v>1223</v>
      </c>
      <c r="H1376" s="385" t="s">
        <v>1565</v>
      </c>
      <c r="I1376" s="306">
        <v>1</v>
      </c>
      <c r="J1376" s="257">
        <v>0.94</v>
      </c>
      <c r="K1376" s="258"/>
      <c r="L1376" s="330" t="s">
        <v>3871</v>
      </c>
    </row>
    <row r="1377" spans="1:12" ht="15">
      <c r="A1377" s="102"/>
      <c r="B1377" s="285"/>
      <c r="C1377" s="256"/>
      <c r="D1377" s="305" t="s">
        <v>1954</v>
      </c>
      <c r="E1377" s="304" t="s">
        <v>1302</v>
      </c>
      <c r="F1377" s="197"/>
      <c r="G1377" s="330"/>
      <c r="H1377" s="256"/>
      <c r="I1377" s="306">
        <v>1</v>
      </c>
      <c r="J1377" s="257"/>
      <c r="K1377" s="258"/>
      <c r="L1377" s="330" t="s">
        <v>1567</v>
      </c>
    </row>
    <row r="1378" spans="1:12" ht="15">
      <c r="A1378" s="102"/>
      <c r="B1378" s="285"/>
      <c r="C1378" s="256"/>
      <c r="D1378" s="330"/>
      <c r="E1378" s="304"/>
      <c r="F1378" s="197" t="s">
        <v>1317</v>
      </c>
      <c r="G1378" s="330" t="s">
        <v>1561</v>
      </c>
      <c r="H1378" s="256" t="s">
        <v>1569</v>
      </c>
      <c r="I1378" s="306">
        <v>4</v>
      </c>
      <c r="J1378" s="257">
        <v>0.09</v>
      </c>
      <c r="K1378" s="258" t="s">
        <v>3872</v>
      </c>
      <c r="L1378" s="330" t="s">
        <v>1570</v>
      </c>
    </row>
    <row r="1379" spans="1:12" ht="15">
      <c r="A1379" s="102"/>
      <c r="B1379" s="285"/>
      <c r="C1379" s="256"/>
      <c r="D1379" s="330"/>
      <c r="E1379" s="304"/>
      <c r="F1379" s="197" t="s">
        <v>1317</v>
      </c>
      <c r="G1379" s="330" t="s">
        <v>1206</v>
      </c>
      <c r="H1379" s="256" t="s">
        <v>3939</v>
      </c>
      <c r="I1379" s="306">
        <v>1</v>
      </c>
      <c r="J1379" s="257">
        <v>11.68</v>
      </c>
      <c r="K1379" s="258" t="s">
        <v>3873</v>
      </c>
      <c r="L1379" s="330" t="s">
        <v>1579</v>
      </c>
    </row>
    <row r="1380" spans="1:12" ht="15">
      <c r="A1380" s="102"/>
      <c r="B1380" s="285"/>
      <c r="C1380" s="256"/>
      <c r="D1380" s="330"/>
      <c r="E1380" s="304"/>
      <c r="F1380" s="197" t="s">
        <v>1317</v>
      </c>
      <c r="G1380" s="330" t="s">
        <v>1199</v>
      </c>
      <c r="H1380" s="256" t="s">
        <v>3940</v>
      </c>
      <c r="I1380" s="306">
        <v>1</v>
      </c>
      <c r="J1380" s="257">
        <v>0.65</v>
      </c>
      <c r="K1380" s="258"/>
      <c r="L1380" s="330" t="s">
        <v>1581</v>
      </c>
    </row>
    <row r="1381" spans="1:12" ht="15">
      <c r="A1381" s="102"/>
      <c r="B1381" s="285"/>
      <c r="C1381" s="256"/>
      <c r="D1381" s="330"/>
      <c r="E1381" s="304"/>
      <c r="F1381" s="197" t="s">
        <v>1317</v>
      </c>
      <c r="G1381" s="330" t="s">
        <v>1199</v>
      </c>
      <c r="H1381" s="256" t="s">
        <v>3941</v>
      </c>
      <c r="I1381" s="306">
        <v>1</v>
      </c>
      <c r="J1381" s="257">
        <v>0.65</v>
      </c>
      <c r="K1381" s="258"/>
      <c r="L1381" s="330" t="s">
        <v>1583</v>
      </c>
    </row>
    <row r="1382" spans="1:12" ht="15">
      <c r="A1382" s="102"/>
      <c r="B1382" s="285"/>
      <c r="C1382" s="256"/>
      <c r="D1382" s="330"/>
      <c r="E1382" s="304"/>
      <c r="F1382" s="197" t="s">
        <v>1317</v>
      </c>
      <c r="G1382" s="330" t="s">
        <v>1199</v>
      </c>
      <c r="H1382" s="385" t="s">
        <v>2866</v>
      </c>
      <c r="I1382" s="306">
        <v>2</v>
      </c>
      <c r="J1382" s="257">
        <v>0.37</v>
      </c>
      <c r="K1382" s="258"/>
      <c r="L1382" s="330" t="s">
        <v>1585</v>
      </c>
    </row>
    <row r="1383" spans="1:12" ht="15">
      <c r="A1383" s="102"/>
      <c r="B1383" s="285"/>
      <c r="C1383" s="256"/>
      <c r="D1383" s="330"/>
      <c r="E1383" s="304"/>
      <c r="F1383" s="197" t="s">
        <v>1317</v>
      </c>
      <c r="G1383" s="330" t="s">
        <v>1633</v>
      </c>
      <c r="H1383" s="256" t="s">
        <v>1635</v>
      </c>
      <c r="I1383" s="306">
        <v>1</v>
      </c>
      <c r="J1383" s="257">
        <v>0</v>
      </c>
      <c r="K1383" s="258"/>
      <c r="L1383" s="330" t="s">
        <v>1634</v>
      </c>
    </row>
    <row r="1384" spans="1:12" ht="15">
      <c r="A1384" s="102"/>
      <c r="B1384" s="285"/>
      <c r="C1384" s="256"/>
      <c r="D1384" s="330"/>
      <c r="E1384" s="304"/>
      <c r="F1384" s="197" t="s">
        <v>1317</v>
      </c>
      <c r="G1384" s="330" t="s">
        <v>1199</v>
      </c>
      <c r="H1384" s="256" t="s">
        <v>2859</v>
      </c>
      <c r="I1384" s="306">
        <v>1</v>
      </c>
      <c r="J1384" s="257">
        <v>0.37</v>
      </c>
      <c r="K1384" s="258"/>
      <c r="L1384" s="330" t="s">
        <v>2860</v>
      </c>
    </row>
    <row r="1385" spans="1:12" ht="15">
      <c r="A1385" s="102"/>
      <c r="B1385" s="285"/>
      <c r="C1385" s="256"/>
      <c r="D1385" s="330"/>
      <c r="E1385" s="304"/>
      <c r="F1385" s="197" t="s">
        <v>1309</v>
      </c>
      <c r="G1385" s="330" t="s">
        <v>1228</v>
      </c>
      <c r="H1385" s="256" t="s">
        <v>2749</v>
      </c>
      <c r="I1385" s="306">
        <v>2</v>
      </c>
      <c r="J1385" s="257">
        <v>0.16</v>
      </c>
      <c r="K1385" s="258"/>
      <c r="L1385" s="330" t="s">
        <v>3026</v>
      </c>
    </row>
    <row r="1386" spans="1:12" ht="15">
      <c r="A1386" s="102"/>
      <c r="B1386" s="285"/>
      <c r="C1386" s="256"/>
      <c r="D1386" s="330"/>
      <c r="E1386" s="304"/>
      <c r="F1386" s="197" t="s">
        <v>1309</v>
      </c>
      <c r="G1386" s="330" t="s">
        <v>1230</v>
      </c>
      <c r="H1386" s="256" t="s">
        <v>1565</v>
      </c>
      <c r="I1386" s="306">
        <v>2</v>
      </c>
      <c r="J1386" s="257">
        <v>0.04</v>
      </c>
      <c r="K1386" s="258"/>
      <c r="L1386" s="330" t="s">
        <v>3027</v>
      </c>
    </row>
    <row r="1387" spans="1:12" ht="15">
      <c r="A1387" s="102"/>
      <c r="B1387" s="285"/>
      <c r="C1387" s="256"/>
      <c r="D1387" s="330"/>
      <c r="E1387" s="304"/>
      <c r="F1387" s="197" t="s">
        <v>1317</v>
      </c>
      <c r="G1387" s="330" t="s">
        <v>1210</v>
      </c>
      <c r="H1387" s="256"/>
      <c r="I1387" s="306">
        <v>4</v>
      </c>
      <c r="J1387" s="257">
        <v>0.03</v>
      </c>
      <c r="K1387" s="258"/>
      <c r="L1387" s="330" t="s">
        <v>3028</v>
      </c>
    </row>
    <row r="1388" spans="1:12" ht="15">
      <c r="A1388" s="102"/>
      <c r="B1388" s="285"/>
      <c r="C1388" s="256"/>
      <c r="D1388" s="330" t="s">
        <v>1647</v>
      </c>
      <c r="E1388" s="304" t="s">
        <v>1311</v>
      </c>
      <c r="F1388" s="197"/>
      <c r="G1388" s="330"/>
      <c r="H1388" s="256" t="s">
        <v>1645</v>
      </c>
      <c r="I1388" s="306">
        <v>8</v>
      </c>
      <c r="J1388" s="257"/>
      <c r="K1388" s="258"/>
      <c r="L1388" s="330" t="s">
        <v>1646</v>
      </c>
    </row>
    <row r="1389" spans="1:12" ht="15">
      <c r="A1389" s="102"/>
      <c r="B1389" s="285"/>
      <c r="C1389" s="256"/>
      <c r="D1389" s="330" t="s">
        <v>1232</v>
      </c>
      <c r="E1389" s="304" t="s">
        <v>1311</v>
      </c>
      <c r="F1389" s="197"/>
      <c r="G1389" s="330"/>
      <c r="H1389" s="256" t="s">
        <v>1648</v>
      </c>
      <c r="I1389" s="306">
        <v>8</v>
      </c>
      <c r="J1389" s="257"/>
      <c r="K1389" s="258"/>
      <c r="L1389" s="330" t="s">
        <v>1649</v>
      </c>
    </row>
    <row r="1390" spans="1:12" ht="28.5">
      <c r="A1390" s="102"/>
      <c r="B1390" s="285"/>
      <c r="C1390" s="256"/>
      <c r="D1390" s="305" t="s">
        <v>1835</v>
      </c>
      <c r="E1390" s="304" t="s">
        <v>1302</v>
      </c>
      <c r="F1390" s="197"/>
      <c r="G1390" s="330"/>
      <c r="H1390" s="256"/>
      <c r="I1390" s="306">
        <v>1</v>
      </c>
      <c r="J1390" s="257"/>
      <c r="K1390" s="258"/>
      <c r="L1390" s="330" t="s">
        <v>1834</v>
      </c>
    </row>
    <row r="1391" spans="1:12" ht="15">
      <c r="A1391" s="102"/>
      <c r="B1391" s="285"/>
      <c r="C1391" s="256"/>
      <c r="D1391" s="305"/>
      <c r="E1391" s="304"/>
      <c r="F1391" s="197" t="s">
        <v>1305</v>
      </c>
      <c r="G1391" s="330" t="s">
        <v>1007</v>
      </c>
      <c r="H1391" s="256" t="s">
        <v>1362</v>
      </c>
      <c r="I1391" s="306">
        <v>1</v>
      </c>
      <c r="J1391" s="257">
        <v>8.23</v>
      </c>
      <c r="K1391" s="258" t="s">
        <v>3874</v>
      </c>
      <c r="L1391" s="330" t="s">
        <v>1836</v>
      </c>
    </row>
    <row r="1392" spans="1:12" ht="15">
      <c r="A1392" s="102"/>
      <c r="B1392" s="285"/>
      <c r="C1392" s="256"/>
      <c r="D1392" s="305"/>
      <c r="E1392" s="304"/>
      <c r="F1392" s="197" t="s">
        <v>1317</v>
      </c>
      <c r="G1392" s="330" t="s">
        <v>1157</v>
      </c>
      <c r="H1392" s="256" t="s">
        <v>1536</v>
      </c>
      <c r="I1392" s="306">
        <v>1</v>
      </c>
      <c r="J1392" s="257">
        <v>43.76</v>
      </c>
      <c r="K1392" s="258" t="s">
        <v>3875</v>
      </c>
      <c r="L1392" s="330" t="s">
        <v>1837</v>
      </c>
    </row>
    <row r="1393" spans="1:12" ht="15">
      <c r="A1393" s="102"/>
      <c r="B1393" s="285"/>
      <c r="C1393" s="256"/>
      <c r="D1393" s="305"/>
      <c r="E1393" s="304"/>
      <c r="F1393" s="197" t="s">
        <v>1317</v>
      </c>
      <c r="G1393" s="330" t="s">
        <v>1539</v>
      </c>
      <c r="H1393" s="256" t="s">
        <v>1540</v>
      </c>
      <c r="I1393" s="306">
        <v>1</v>
      </c>
      <c r="J1393" s="257">
        <v>5.61</v>
      </c>
      <c r="K1393" s="258" t="s">
        <v>3864</v>
      </c>
      <c r="L1393" s="330" t="s">
        <v>1838</v>
      </c>
    </row>
    <row r="1394" spans="1:12" ht="15">
      <c r="A1394" s="102"/>
      <c r="B1394" s="285"/>
      <c r="C1394" s="256"/>
      <c r="D1394" s="305"/>
      <c r="E1394" s="304"/>
      <c r="F1394" s="197" t="s">
        <v>1317</v>
      </c>
      <c r="G1394" s="330" t="s">
        <v>1544</v>
      </c>
      <c r="H1394" s="256" t="s">
        <v>1545</v>
      </c>
      <c r="I1394" s="306">
        <v>2</v>
      </c>
      <c r="J1394" s="257">
        <v>0.06</v>
      </c>
      <c r="K1394" s="258"/>
      <c r="L1394" s="330" t="s">
        <v>1839</v>
      </c>
    </row>
    <row r="1395" spans="1:12" ht="15">
      <c r="A1395" s="102"/>
      <c r="B1395" s="285"/>
      <c r="C1395" s="256"/>
      <c r="D1395" s="305"/>
      <c r="E1395" s="304"/>
      <c r="F1395" s="197" t="s">
        <v>1317</v>
      </c>
      <c r="G1395" s="330" t="s">
        <v>1572</v>
      </c>
      <c r="H1395" s="256" t="s">
        <v>3865</v>
      </c>
      <c r="I1395" s="306">
        <v>1</v>
      </c>
      <c r="J1395" s="257">
        <v>0.17</v>
      </c>
      <c r="K1395" s="258" t="s">
        <v>3864</v>
      </c>
      <c r="L1395" s="330" t="s">
        <v>1840</v>
      </c>
    </row>
    <row r="1396" spans="1:12" ht="15">
      <c r="A1396" s="102"/>
      <c r="B1396" s="285"/>
      <c r="C1396" s="256"/>
      <c r="D1396" s="305"/>
      <c r="E1396" s="304"/>
      <c r="F1396" s="197" t="s">
        <v>1317</v>
      </c>
      <c r="G1396" s="330" t="s">
        <v>1199</v>
      </c>
      <c r="H1396" s="256" t="s">
        <v>2187</v>
      </c>
      <c r="I1396" s="306">
        <v>1</v>
      </c>
      <c r="J1396" s="257">
        <v>0.65</v>
      </c>
      <c r="K1396" s="258"/>
      <c r="L1396" s="330" t="s">
        <v>2193</v>
      </c>
    </row>
    <row r="1397" spans="1:12" ht="15">
      <c r="A1397" s="102"/>
      <c r="B1397" s="285"/>
      <c r="C1397" s="256"/>
      <c r="D1397" s="305" t="s">
        <v>1893</v>
      </c>
      <c r="E1397" s="304" t="s">
        <v>1302</v>
      </c>
      <c r="F1397" s="197"/>
      <c r="G1397" s="330"/>
      <c r="H1397" s="256" t="s">
        <v>1549</v>
      </c>
      <c r="I1397" s="306">
        <v>1</v>
      </c>
      <c r="J1397" s="257"/>
      <c r="K1397" s="258"/>
      <c r="L1397" s="330" t="s">
        <v>1892</v>
      </c>
    </row>
    <row r="1398" spans="1:12" ht="15">
      <c r="A1398" s="102"/>
      <c r="B1398" s="285"/>
      <c r="C1398" s="256"/>
      <c r="D1398" s="305"/>
      <c r="E1398" s="304"/>
      <c r="F1398" s="197" t="s">
        <v>1305</v>
      </c>
      <c r="G1398" s="330" t="s">
        <v>999</v>
      </c>
      <c r="H1398" s="256" t="s">
        <v>3876</v>
      </c>
      <c r="I1398" s="306">
        <v>1</v>
      </c>
      <c r="J1398" s="257">
        <v>8.64</v>
      </c>
      <c r="K1398" s="258" t="s">
        <v>3877</v>
      </c>
      <c r="L1398" s="330" t="s">
        <v>1894</v>
      </c>
    </row>
    <row r="1399" spans="1:12" ht="15">
      <c r="A1399" s="102"/>
      <c r="B1399" s="285"/>
      <c r="C1399" s="256"/>
      <c r="D1399" s="305"/>
      <c r="E1399" s="304"/>
      <c r="F1399" s="197" t="s">
        <v>1317</v>
      </c>
      <c r="G1399" s="330" t="s">
        <v>1180</v>
      </c>
      <c r="H1399" s="256" t="s">
        <v>1542</v>
      </c>
      <c r="I1399" s="306">
        <v>1</v>
      </c>
      <c r="J1399" s="257">
        <v>0.93</v>
      </c>
      <c r="K1399" s="258"/>
      <c r="L1399" s="330" t="s">
        <v>1895</v>
      </c>
    </row>
    <row r="1400" spans="1:12" ht="15">
      <c r="A1400" s="102"/>
      <c r="B1400" s="285"/>
      <c r="C1400" s="256"/>
      <c r="D1400" s="305"/>
      <c r="E1400" s="304"/>
      <c r="F1400" s="197" t="s">
        <v>1317</v>
      </c>
      <c r="G1400" s="330" t="s">
        <v>1211</v>
      </c>
      <c r="H1400" s="256" t="s">
        <v>1543</v>
      </c>
      <c r="I1400" s="306">
        <v>2</v>
      </c>
      <c r="J1400" s="257">
        <v>0.21</v>
      </c>
      <c r="K1400" s="258" t="s">
        <v>3864</v>
      </c>
      <c r="L1400" s="330" t="s">
        <v>1896</v>
      </c>
    </row>
    <row r="1401" spans="1:12" ht="15">
      <c r="A1401" s="102"/>
      <c r="B1401" s="285"/>
      <c r="C1401" s="256"/>
      <c r="D1401" s="305"/>
      <c r="E1401" s="304"/>
      <c r="F1401" s="197" t="s">
        <v>1317</v>
      </c>
      <c r="G1401" s="330" t="s">
        <v>1544</v>
      </c>
      <c r="H1401" s="256" t="s">
        <v>1557</v>
      </c>
      <c r="I1401" s="306">
        <v>1</v>
      </c>
      <c r="J1401" s="257">
        <v>0.06</v>
      </c>
      <c r="K1401" s="258"/>
      <c r="L1401" s="330" t="s">
        <v>1897</v>
      </c>
    </row>
    <row r="1402" spans="1:12" ht="15">
      <c r="A1402" s="102"/>
      <c r="B1402" s="285"/>
      <c r="C1402" s="256"/>
      <c r="D1402" s="305"/>
      <c r="E1402" s="304"/>
      <c r="F1402" s="197" t="s">
        <v>1317</v>
      </c>
      <c r="G1402" s="330" t="s">
        <v>1572</v>
      </c>
      <c r="H1402" s="256" t="s">
        <v>1571</v>
      </c>
      <c r="I1402" s="306">
        <v>1</v>
      </c>
      <c r="J1402" s="257">
        <v>0.17</v>
      </c>
      <c r="K1402" s="258" t="s">
        <v>3864</v>
      </c>
      <c r="L1402" s="330" t="s">
        <v>1898</v>
      </c>
    </row>
    <row r="1403" spans="1:12" ht="29.25">
      <c r="A1403" s="102"/>
      <c r="B1403" s="285"/>
      <c r="C1403" s="256"/>
      <c r="D1403" s="305"/>
      <c r="E1403" s="304"/>
      <c r="F1403" s="197" t="s">
        <v>1317</v>
      </c>
      <c r="G1403" s="330" t="s">
        <v>1199</v>
      </c>
      <c r="H1403" s="385" t="s">
        <v>2353</v>
      </c>
      <c r="I1403" s="306">
        <v>1</v>
      </c>
      <c r="J1403" s="257">
        <v>0.37</v>
      </c>
      <c r="K1403" s="258"/>
      <c r="L1403" s="330" t="s">
        <v>2194</v>
      </c>
    </row>
    <row r="1404" spans="1:12" ht="15">
      <c r="A1404" s="102"/>
      <c r="B1404" s="285"/>
      <c r="C1404" s="256"/>
      <c r="D1404" s="305" t="s">
        <v>1899</v>
      </c>
      <c r="E1404" s="304" t="s">
        <v>1302</v>
      </c>
      <c r="F1404" s="197"/>
      <c r="G1404" s="330"/>
      <c r="H1404" s="256" t="s">
        <v>1550</v>
      </c>
      <c r="I1404" s="306">
        <v>1</v>
      </c>
      <c r="J1404" s="257"/>
      <c r="K1404" s="258"/>
      <c r="L1404" s="330" t="s">
        <v>1900</v>
      </c>
    </row>
    <row r="1405" spans="1:12" ht="15">
      <c r="A1405" s="102"/>
      <c r="B1405" s="285"/>
      <c r="C1405" s="256"/>
      <c r="D1405" s="305"/>
      <c r="E1405" s="304"/>
      <c r="F1405" s="197" t="s">
        <v>1305</v>
      </c>
      <c r="G1405" s="330" t="s">
        <v>999</v>
      </c>
      <c r="H1405" s="256" t="s">
        <v>1553</v>
      </c>
      <c r="I1405" s="306">
        <v>1</v>
      </c>
      <c r="J1405" s="257">
        <v>12.79</v>
      </c>
      <c r="K1405" s="258" t="s">
        <v>3878</v>
      </c>
      <c r="L1405" s="330" t="s">
        <v>1901</v>
      </c>
    </row>
    <row r="1406" spans="1:12" ht="15">
      <c r="A1406" s="102"/>
      <c r="B1406" s="285"/>
      <c r="C1406" s="256"/>
      <c r="D1406" s="305"/>
      <c r="E1406" s="304"/>
      <c r="F1406" s="197" t="s">
        <v>1317</v>
      </c>
      <c r="G1406" s="330" t="s">
        <v>1413</v>
      </c>
      <c r="H1406" s="256" t="s">
        <v>1542</v>
      </c>
      <c r="I1406" s="306">
        <v>1</v>
      </c>
      <c r="J1406" s="257">
        <v>0.93</v>
      </c>
      <c r="K1406" s="258"/>
      <c r="L1406" s="330" t="s">
        <v>1902</v>
      </c>
    </row>
    <row r="1407" spans="1:12" ht="15">
      <c r="A1407" s="102"/>
      <c r="B1407" s="285"/>
      <c r="C1407" s="256"/>
      <c r="D1407" s="305"/>
      <c r="E1407" s="304"/>
      <c r="F1407" s="197" t="s">
        <v>1317</v>
      </c>
      <c r="G1407" s="330" t="s">
        <v>1211</v>
      </c>
      <c r="H1407" s="256" t="s">
        <v>1543</v>
      </c>
      <c r="I1407" s="306">
        <v>2</v>
      </c>
      <c r="J1407" s="257">
        <v>0.21</v>
      </c>
      <c r="K1407" s="258" t="s">
        <v>3864</v>
      </c>
      <c r="L1407" s="330" t="s">
        <v>1903</v>
      </c>
    </row>
    <row r="1408" spans="1:12" ht="15">
      <c r="A1408" s="102"/>
      <c r="B1408" s="285"/>
      <c r="C1408" s="256"/>
      <c r="D1408" s="305"/>
      <c r="E1408" s="304"/>
      <c r="F1408" s="197" t="s">
        <v>1317</v>
      </c>
      <c r="G1408" s="330" t="s">
        <v>1544</v>
      </c>
      <c r="H1408" s="256" t="s">
        <v>1557</v>
      </c>
      <c r="I1408" s="306">
        <v>1</v>
      </c>
      <c r="J1408" s="257">
        <v>0.06</v>
      </c>
      <c r="K1408" s="258"/>
      <c r="L1408" s="330" t="s">
        <v>1904</v>
      </c>
    </row>
    <row r="1409" spans="1:12" ht="15">
      <c r="A1409" s="102"/>
      <c r="B1409" s="285"/>
      <c r="C1409" s="256"/>
      <c r="D1409" s="305"/>
      <c r="E1409" s="304"/>
      <c r="F1409" s="197" t="s">
        <v>1317</v>
      </c>
      <c r="G1409" s="330" t="s">
        <v>1572</v>
      </c>
      <c r="H1409" s="256" t="s">
        <v>1571</v>
      </c>
      <c r="I1409" s="306">
        <v>1</v>
      </c>
      <c r="J1409" s="257">
        <v>0.17</v>
      </c>
      <c r="K1409" s="258" t="s">
        <v>3864</v>
      </c>
      <c r="L1409" s="330" t="s">
        <v>1905</v>
      </c>
    </row>
    <row r="1410" spans="1:12" ht="29.25">
      <c r="A1410" s="102"/>
      <c r="B1410" s="285"/>
      <c r="C1410" s="256"/>
      <c r="D1410" s="305"/>
      <c r="E1410" s="304"/>
      <c r="F1410" s="197" t="s">
        <v>1317</v>
      </c>
      <c r="G1410" s="330" t="s">
        <v>1199</v>
      </c>
      <c r="H1410" s="385" t="s">
        <v>2354</v>
      </c>
      <c r="I1410" s="306">
        <v>1</v>
      </c>
      <c r="J1410" s="257">
        <v>0.37</v>
      </c>
      <c r="K1410" s="258"/>
      <c r="L1410" s="330" t="s">
        <v>2195</v>
      </c>
    </row>
    <row r="1411" spans="1:12" ht="15">
      <c r="A1411" s="102"/>
      <c r="B1411" s="285"/>
      <c r="C1411" s="256"/>
      <c r="D1411" s="305" t="s">
        <v>1906</v>
      </c>
      <c r="E1411" s="304" t="s">
        <v>1302</v>
      </c>
      <c r="F1411" s="197"/>
      <c r="G1411" s="330"/>
      <c r="H1411" s="256"/>
      <c r="I1411" s="306">
        <v>2</v>
      </c>
      <c r="J1411" s="257"/>
      <c r="K1411" s="258"/>
      <c r="L1411" s="330" t="s">
        <v>1907</v>
      </c>
    </row>
    <row r="1412" spans="1:12" ht="15">
      <c r="A1412" s="102"/>
      <c r="B1412" s="285"/>
      <c r="C1412" s="256"/>
      <c r="D1412" s="305"/>
      <c r="E1412" s="304"/>
      <c r="F1412" s="197" t="s">
        <v>1305</v>
      </c>
      <c r="G1412" s="330" t="s">
        <v>1007</v>
      </c>
      <c r="H1412" s="256" t="s">
        <v>1362</v>
      </c>
      <c r="I1412" s="306">
        <v>1</v>
      </c>
      <c r="J1412" s="257">
        <v>0.11</v>
      </c>
      <c r="K1412" s="258" t="s">
        <v>3868</v>
      </c>
      <c r="L1412" s="330" t="s">
        <v>1908</v>
      </c>
    </row>
    <row r="1413" spans="1:12" ht="15">
      <c r="A1413" s="102"/>
      <c r="B1413" s="285"/>
      <c r="C1413" s="256"/>
      <c r="D1413" s="305"/>
      <c r="E1413" s="304"/>
      <c r="F1413" s="197" t="s">
        <v>1317</v>
      </c>
      <c r="G1413" s="330" t="s">
        <v>1157</v>
      </c>
      <c r="H1413" s="256" t="s">
        <v>1339</v>
      </c>
      <c r="I1413" s="306">
        <v>1</v>
      </c>
      <c r="J1413" s="257">
        <v>0.57999999999999996</v>
      </c>
      <c r="K1413" s="258" t="s">
        <v>3869</v>
      </c>
      <c r="L1413" s="330" t="s">
        <v>1909</v>
      </c>
    </row>
    <row r="1414" spans="1:12" ht="15">
      <c r="A1414" s="102"/>
      <c r="B1414" s="285"/>
      <c r="C1414" s="256"/>
      <c r="D1414" s="305"/>
      <c r="E1414" s="304"/>
      <c r="F1414" s="197" t="s">
        <v>1317</v>
      </c>
      <c r="G1414" s="330" t="s">
        <v>1222</v>
      </c>
      <c r="H1414" s="256" t="s">
        <v>3066</v>
      </c>
      <c r="I1414" s="306">
        <v>1</v>
      </c>
      <c r="J1414" s="257">
        <v>0.56000000000000005</v>
      </c>
      <c r="K1414" s="258"/>
      <c r="L1414" s="330" t="s">
        <v>1910</v>
      </c>
    </row>
    <row r="1415" spans="1:12" ht="15">
      <c r="A1415" s="102"/>
      <c r="B1415" s="285"/>
      <c r="C1415" s="256"/>
      <c r="D1415" s="305"/>
      <c r="E1415" s="304"/>
      <c r="F1415" s="197" t="s">
        <v>1317</v>
      </c>
      <c r="G1415" s="330" t="s">
        <v>1539</v>
      </c>
      <c r="H1415" s="256" t="s">
        <v>1540</v>
      </c>
      <c r="I1415" s="306">
        <v>1</v>
      </c>
      <c r="J1415" s="257">
        <v>2.81</v>
      </c>
      <c r="K1415" s="258" t="s">
        <v>3870</v>
      </c>
      <c r="L1415" s="330" t="s">
        <v>1911</v>
      </c>
    </row>
    <row r="1416" spans="1:12" ht="15">
      <c r="A1416" s="102"/>
      <c r="B1416" s="285"/>
      <c r="C1416" s="256"/>
      <c r="D1416" s="305"/>
      <c r="E1416" s="304"/>
      <c r="F1416" s="197" t="s">
        <v>1317</v>
      </c>
      <c r="G1416" s="330" t="s">
        <v>1572</v>
      </c>
      <c r="H1416" s="256" t="s">
        <v>3865</v>
      </c>
      <c r="I1416" s="306">
        <v>1</v>
      </c>
      <c r="J1416" s="257">
        <v>0.02</v>
      </c>
      <c r="K1416" s="258" t="s">
        <v>3870</v>
      </c>
      <c r="L1416" s="330" t="s">
        <v>1912</v>
      </c>
    </row>
    <row r="1417" spans="1:12" ht="15">
      <c r="A1417" s="102"/>
      <c r="B1417" s="285"/>
      <c r="C1417" s="256"/>
      <c r="D1417" s="305"/>
      <c r="E1417" s="304"/>
      <c r="F1417" s="197" t="s">
        <v>1317</v>
      </c>
      <c r="G1417" s="330" t="s">
        <v>1199</v>
      </c>
      <c r="H1417" s="256" t="s">
        <v>2192</v>
      </c>
      <c r="I1417" s="306">
        <v>1</v>
      </c>
      <c r="J1417" s="257">
        <v>0.37</v>
      </c>
      <c r="K1417" s="258"/>
      <c r="L1417" s="330" t="s">
        <v>2196</v>
      </c>
    </row>
    <row r="1418" spans="1:12" ht="29.25">
      <c r="A1418" s="102"/>
      <c r="B1418" s="285"/>
      <c r="C1418" s="256"/>
      <c r="D1418" s="305"/>
      <c r="E1418" s="304"/>
      <c r="F1418" s="197" t="s">
        <v>1317</v>
      </c>
      <c r="G1418" s="330" t="s">
        <v>1199</v>
      </c>
      <c r="H1418" s="385" t="s">
        <v>2352</v>
      </c>
      <c r="I1418" s="306">
        <v>1</v>
      </c>
      <c r="J1418" s="257">
        <v>0.37</v>
      </c>
      <c r="K1418" s="258"/>
      <c r="L1418" s="330" t="s">
        <v>2198</v>
      </c>
    </row>
    <row r="1419" spans="1:12" ht="15">
      <c r="A1419" s="102"/>
      <c r="B1419" s="285"/>
      <c r="C1419" s="256"/>
      <c r="D1419" s="305"/>
      <c r="E1419" s="304"/>
      <c r="F1419" s="197" t="s">
        <v>1317</v>
      </c>
      <c r="G1419" s="330" t="s">
        <v>1223</v>
      </c>
      <c r="H1419" s="385" t="s">
        <v>1565</v>
      </c>
      <c r="I1419" s="306">
        <v>1</v>
      </c>
      <c r="J1419" s="257">
        <v>0.94</v>
      </c>
      <c r="K1419" s="258"/>
      <c r="L1419" s="330" t="s">
        <v>3879</v>
      </c>
    </row>
    <row r="1420" spans="1:12" ht="15">
      <c r="A1420" s="102"/>
      <c r="B1420" s="285"/>
      <c r="C1420" s="256"/>
      <c r="D1420" s="305" t="s">
        <v>1913</v>
      </c>
      <c r="E1420" s="304" t="s">
        <v>1302</v>
      </c>
      <c r="F1420" s="197"/>
      <c r="G1420" s="330"/>
      <c r="H1420" s="256"/>
      <c r="I1420" s="306">
        <v>1</v>
      </c>
      <c r="J1420" s="257"/>
      <c r="K1420" s="258"/>
      <c r="L1420" s="330" t="s">
        <v>1914</v>
      </c>
    </row>
    <row r="1421" spans="1:12" ht="15">
      <c r="A1421" s="102"/>
      <c r="B1421" s="285"/>
      <c r="C1421" s="256"/>
      <c r="D1421" s="305"/>
      <c r="E1421" s="304"/>
      <c r="F1421" s="197" t="s">
        <v>1317</v>
      </c>
      <c r="G1421" s="330" t="s">
        <v>1561</v>
      </c>
      <c r="H1421" s="256" t="s">
        <v>1569</v>
      </c>
      <c r="I1421" s="306">
        <v>4</v>
      </c>
      <c r="J1421" s="257">
        <v>0.09</v>
      </c>
      <c r="K1421" s="258"/>
      <c r="L1421" s="330" t="s">
        <v>1915</v>
      </c>
    </row>
    <row r="1422" spans="1:12" ht="15">
      <c r="A1422" s="102"/>
      <c r="B1422" s="285"/>
      <c r="C1422" s="256"/>
      <c r="D1422" s="305"/>
      <c r="E1422" s="304"/>
      <c r="F1422" s="197" t="s">
        <v>1317</v>
      </c>
      <c r="G1422" s="330" t="s">
        <v>1206</v>
      </c>
      <c r="H1422" s="256" t="s">
        <v>1578</v>
      </c>
      <c r="I1422" s="306">
        <v>1</v>
      </c>
      <c r="J1422" s="257">
        <v>11.68</v>
      </c>
      <c r="K1422" s="258" t="s">
        <v>3870</v>
      </c>
      <c r="L1422" s="330" t="s">
        <v>1916</v>
      </c>
    </row>
    <row r="1423" spans="1:12" ht="15">
      <c r="A1423" s="102"/>
      <c r="B1423" s="285"/>
      <c r="C1423" s="256"/>
      <c r="D1423" s="305"/>
      <c r="E1423" s="304"/>
      <c r="F1423" s="197" t="s">
        <v>1317</v>
      </c>
      <c r="G1423" s="330" t="s">
        <v>1199</v>
      </c>
      <c r="H1423" s="256" t="s">
        <v>1580</v>
      </c>
      <c r="I1423" s="306">
        <v>1</v>
      </c>
      <c r="J1423" s="257">
        <v>0.37</v>
      </c>
      <c r="K1423" s="258" t="s">
        <v>3873</v>
      </c>
      <c r="L1423" s="330" t="s">
        <v>1917</v>
      </c>
    </row>
    <row r="1424" spans="1:12" ht="15">
      <c r="A1424" s="102"/>
      <c r="B1424" s="285"/>
      <c r="C1424" s="256"/>
      <c r="D1424" s="305"/>
      <c r="E1424" s="304"/>
      <c r="F1424" s="197" t="s">
        <v>1317</v>
      </c>
      <c r="G1424" s="330" t="s">
        <v>1199</v>
      </c>
      <c r="H1424" s="256" t="s">
        <v>1584</v>
      </c>
      <c r="I1424" s="306">
        <v>1</v>
      </c>
      <c r="J1424" s="257">
        <v>0.37</v>
      </c>
      <c r="K1424" s="258"/>
      <c r="L1424" s="330" t="s">
        <v>1918</v>
      </c>
    </row>
    <row r="1425" spans="1:12" ht="15">
      <c r="A1425" s="102"/>
      <c r="B1425" s="285"/>
      <c r="C1425" s="256"/>
      <c r="D1425" s="305"/>
      <c r="E1425" s="304"/>
      <c r="F1425" s="197" t="s">
        <v>1317</v>
      </c>
      <c r="G1425" s="330" t="s">
        <v>1199</v>
      </c>
      <c r="H1425" s="385" t="s">
        <v>2866</v>
      </c>
      <c r="I1425" s="306">
        <v>2</v>
      </c>
      <c r="J1425" s="257">
        <v>0.37</v>
      </c>
      <c r="K1425" s="258"/>
      <c r="L1425" s="330" t="s">
        <v>1919</v>
      </c>
    </row>
    <row r="1426" spans="1:12" ht="15">
      <c r="A1426" s="102"/>
      <c r="B1426" s="285"/>
      <c r="C1426" s="256"/>
      <c r="D1426" s="305"/>
      <c r="E1426" s="304"/>
      <c r="F1426" s="197" t="s">
        <v>1317</v>
      </c>
      <c r="G1426" s="330" t="s">
        <v>1636</v>
      </c>
      <c r="H1426" s="256" t="s">
        <v>1635</v>
      </c>
      <c r="I1426" s="306">
        <v>1</v>
      </c>
      <c r="J1426" s="257">
        <v>0</v>
      </c>
      <c r="K1426" s="258"/>
      <c r="L1426" s="330" t="s">
        <v>1920</v>
      </c>
    </row>
    <row r="1427" spans="1:12" ht="15">
      <c r="A1427" s="102"/>
      <c r="B1427" s="285"/>
      <c r="C1427" s="256"/>
      <c r="D1427" s="305"/>
      <c r="E1427" s="304"/>
      <c r="F1427" s="197" t="s">
        <v>1317</v>
      </c>
      <c r="G1427" s="330" t="s">
        <v>1199</v>
      </c>
      <c r="H1427" s="256" t="s">
        <v>2859</v>
      </c>
      <c r="I1427" s="306">
        <v>1</v>
      </c>
      <c r="J1427" s="257">
        <v>0.37</v>
      </c>
      <c r="K1427" s="258"/>
      <c r="L1427" s="330" t="s">
        <v>2861</v>
      </c>
    </row>
    <row r="1428" spans="1:12" ht="15">
      <c r="A1428" s="102"/>
      <c r="B1428" s="285"/>
      <c r="C1428" s="256"/>
      <c r="D1428" s="305"/>
      <c r="E1428" s="304"/>
      <c r="F1428" s="197" t="s">
        <v>1309</v>
      </c>
      <c r="G1428" s="330" t="s">
        <v>1228</v>
      </c>
      <c r="H1428" s="256" t="s">
        <v>3861</v>
      </c>
      <c r="I1428" s="306">
        <v>2</v>
      </c>
      <c r="J1428" s="257">
        <v>0.16</v>
      </c>
      <c r="K1428" s="258"/>
      <c r="L1428" s="330" t="s">
        <v>3029</v>
      </c>
    </row>
    <row r="1429" spans="1:12" ht="15">
      <c r="A1429" s="102"/>
      <c r="B1429" s="285"/>
      <c r="C1429" s="256"/>
      <c r="D1429" s="305"/>
      <c r="E1429" s="304"/>
      <c r="F1429" s="197" t="s">
        <v>1309</v>
      </c>
      <c r="G1429" s="330" t="s">
        <v>1230</v>
      </c>
      <c r="H1429" s="256" t="s">
        <v>3030</v>
      </c>
      <c r="I1429" s="306">
        <v>2</v>
      </c>
      <c r="J1429" s="257">
        <v>0.04</v>
      </c>
      <c r="K1429" s="258"/>
      <c r="L1429" s="330" t="s">
        <v>3031</v>
      </c>
    </row>
    <row r="1430" spans="1:12" ht="15">
      <c r="A1430" s="102"/>
      <c r="B1430" s="285"/>
      <c r="C1430" s="256"/>
      <c r="D1430" s="305"/>
      <c r="E1430" s="304"/>
      <c r="F1430" s="197" t="s">
        <v>1317</v>
      </c>
      <c r="G1430" s="330" t="s">
        <v>1210</v>
      </c>
      <c r="H1430" s="256"/>
      <c r="I1430" s="306">
        <v>4</v>
      </c>
      <c r="J1430" s="257">
        <v>0.03</v>
      </c>
      <c r="K1430" s="258"/>
      <c r="L1430" s="330" t="s">
        <v>3032</v>
      </c>
    </row>
    <row r="1431" spans="1:12" ht="15">
      <c r="A1431" s="102"/>
      <c r="D1431" s="333"/>
      <c r="F1431" s="96"/>
      <c r="H1431" s="96"/>
      <c r="I1431" s="397"/>
      <c r="J1431" s="96"/>
      <c r="K1431" s="96"/>
      <c r="L1431" s="333"/>
    </row>
    <row r="1432" spans="1:12">
      <c r="A1432" s="290"/>
      <c r="B1432" s="291" t="s">
        <v>9</v>
      </c>
      <c r="C1432" s="292" t="s">
        <v>115</v>
      </c>
      <c r="D1432" s="335"/>
      <c r="E1432" s="408"/>
      <c r="F1432" s="293"/>
      <c r="G1432" s="335"/>
      <c r="H1432" s="292"/>
      <c r="I1432" s="428">
        <v>2</v>
      </c>
      <c r="J1432" s="294"/>
      <c r="K1432" s="295"/>
      <c r="L1432" s="335" t="s">
        <v>1597</v>
      </c>
    </row>
    <row r="1433" spans="1:12">
      <c r="A1433" s="290"/>
      <c r="B1433" s="291"/>
      <c r="C1433" s="296"/>
      <c r="D1433" s="301" t="s">
        <v>1596</v>
      </c>
      <c r="E1433" s="303" t="s">
        <v>1302</v>
      </c>
      <c r="F1433" s="297"/>
      <c r="G1433" s="301"/>
      <c r="H1433" s="296"/>
      <c r="I1433" s="309">
        <v>1</v>
      </c>
      <c r="J1433" s="299"/>
      <c r="K1433" s="300"/>
      <c r="L1433" s="301" t="s">
        <v>1598</v>
      </c>
    </row>
    <row r="1434" spans="1:12">
      <c r="A1434" s="290"/>
      <c r="B1434" s="291"/>
      <c r="C1434" s="296"/>
      <c r="D1434" s="301"/>
      <c r="E1434" s="303"/>
      <c r="F1434" s="297" t="s">
        <v>1305</v>
      </c>
      <c r="G1434" s="301" t="s">
        <v>1007</v>
      </c>
      <c r="H1434" s="296" t="s">
        <v>1362</v>
      </c>
      <c r="I1434" s="309">
        <v>1</v>
      </c>
      <c r="J1434" s="299">
        <v>15.23</v>
      </c>
      <c r="K1434" s="300" t="s">
        <v>3880</v>
      </c>
      <c r="L1434" s="301" t="s">
        <v>1599</v>
      </c>
    </row>
    <row r="1435" spans="1:12">
      <c r="A1435" s="290"/>
      <c r="B1435" s="291"/>
      <c r="C1435" s="296"/>
      <c r="D1435" s="301"/>
      <c r="E1435" s="303"/>
      <c r="F1435" s="297" t="s">
        <v>1317</v>
      </c>
      <c r="G1435" s="301" t="s">
        <v>1157</v>
      </c>
      <c r="H1435" s="296" t="s">
        <v>1600</v>
      </c>
      <c r="I1435" s="309">
        <v>1</v>
      </c>
      <c r="J1435" s="299">
        <v>219.46</v>
      </c>
      <c r="K1435" s="300" t="s">
        <v>3881</v>
      </c>
      <c r="L1435" s="301" t="s">
        <v>1601</v>
      </c>
    </row>
    <row r="1436" spans="1:12">
      <c r="A1436" s="290"/>
      <c r="B1436" s="291"/>
      <c r="C1436" s="296"/>
      <c r="D1436" s="301"/>
      <c r="E1436" s="303"/>
      <c r="F1436" s="297" t="s">
        <v>1309</v>
      </c>
      <c r="G1436" s="301" t="s">
        <v>665</v>
      </c>
      <c r="H1436" s="296" t="s">
        <v>1604</v>
      </c>
      <c r="I1436" s="309">
        <v>1</v>
      </c>
      <c r="J1436" s="299">
        <v>5.59</v>
      </c>
      <c r="K1436" s="300" t="s">
        <v>3882</v>
      </c>
      <c r="L1436" s="301" t="s">
        <v>1605</v>
      </c>
    </row>
    <row r="1437" spans="1:12">
      <c r="A1437" s="290"/>
      <c r="B1437" s="291"/>
      <c r="C1437" s="296"/>
      <c r="D1437" s="301"/>
      <c r="E1437" s="303"/>
      <c r="F1437" s="297" t="s">
        <v>1309</v>
      </c>
      <c r="G1437" s="301" t="s">
        <v>1228</v>
      </c>
      <c r="H1437" s="296" t="s">
        <v>3883</v>
      </c>
      <c r="I1437" s="309">
        <v>2</v>
      </c>
      <c r="J1437" s="299">
        <v>0.09</v>
      </c>
      <c r="K1437" s="300"/>
      <c r="L1437" s="301" t="s">
        <v>1607</v>
      </c>
    </row>
    <row r="1438" spans="1:12">
      <c r="A1438" s="290"/>
      <c r="B1438" s="291"/>
      <c r="C1438" s="296"/>
      <c r="D1438" s="301"/>
      <c r="E1438" s="303"/>
      <c r="F1438" s="297" t="s">
        <v>1317</v>
      </c>
      <c r="G1438" s="301" t="s">
        <v>1199</v>
      </c>
      <c r="H1438" s="296" t="s">
        <v>3943</v>
      </c>
      <c r="I1438" s="309">
        <v>1</v>
      </c>
      <c r="J1438" s="299">
        <v>0.37</v>
      </c>
      <c r="K1438" s="300"/>
      <c r="L1438" s="301" t="s">
        <v>2355</v>
      </c>
    </row>
    <row r="1439" spans="1:12">
      <c r="A1439" s="290"/>
      <c r="B1439" s="291"/>
      <c r="C1439" s="296"/>
      <c r="D1439" s="301"/>
      <c r="E1439" s="303"/>
      <c r="F1439" s="297" t="s">
        <v>1317</v>
      </c>
      <c r="G1439" s="301" t="s">
        <v>1199</v>
      </c>
      <c r="H1439" s="296" t="s">
        <v>3942</v>
      </c>
      <c r="I1439" s="309">
        <v>1</v>
      </c>
      <c r="J1439" s="299">
        <v>0.37</v>
      </c>
      <c r="K1439" s="300"/>
      <c r="L1439" s="301" t="s">
        <v>2357</v>
      </c>
    </row>
    <row r="1440" spans="1:12">
      <c r="A1440" s="290"/>
      <c r="B1440" s="291"/>
      <c r="C1440" s="296"/>
      <c r="D1440" s="301"/>
      <c r="E1440" s="303"/>
      <c r="F1440" s="297" t="s">
        <v>1317</v>
      </c>
      <c r="G1440" s="301" t="s">
        <v>1199</v>
      </c>
      <c r="H1440" s="296" t="s">
        <v>2358</v>
      </c>
      <c r="I1440" s="309">
        <v>1</v>
      </c>
      <c r="J1440" s="299">
        <v>0.37</v>
      </c>
      <c r="K1440" s="300"/>
      <c r="L1440" s="301" t="s">
        <v>2359</v>
      </c>
    </row>
    <row r="1441" spans="1:12">
      <c r="A1441" s="290"/>
      <c r="B1441" s="291"/>
      <c r="C1441" s="296"/>
      <c r="D1441" s="301"/>
      <c r="E1441" s="303"/>
      <c r="F1441" s="297" t="s">
        <v>1309</v>
      </c>
      <c r="G1441" s="301" t="s">
        <v>1228</v>
      </c>
      <c r="H1441" s="296" t="s">
        <v>2862</v>
      </c>
      <c r="I1441" s="309">
        <v>2</v>
      </c>
      <c r="J1441" s="299">
        <v>0.16</v>
      </c>
      <c r="K1441" s="300"/>
      <c r="L1441" s="301" t="s">
        <v>2360</v>
      </c>
    </row>
    <row r="1442" spans="1:12">
      <c r="A1442" s="290"/>
      <c r="B1442" s="291"/>
      <c r="C1442" s="296"/>
      <c r="D1442" s="301"/>
      <c r="E1442" s="303"/>
      <c r="F1442" s="297" t="s">
        <v>1309</v>
      </c>
      <c r="G1442" s="301" t="s">
        <v>1210</v>
      </c>
      <c r="H1442" s="296" t="s">
        <v>1606</v>
      </c>
      <c r="I1442" s="309">
        <v>1</v>
      </c>
      <c r="J1442" s="299">
        <v>0.03</v>
      </c>
      <c r="K1442" s="300"/>
      <c r="L1442" s="301" t="s">
        <v>2361</v>
      </c>
    </row>
    <row r="1443" spans="1:12">
      <c r="A1443" s="290"/>
      <c r="B1443" s="291"/>
      <c r="C1443" s="296"/>
      <c r="D1443" s="301"/>
      <c r="E1443" s="303"/>
      <c r="F1443" s="297" t="s">
        <v>1309</v>
      </c>
      <c r="G1443" s="301" t="s">
        <v>1230</v>
      </c>
      <c r="H1443" s="296" t="s">
        <v>1565</v>
      </c>
      <c r="I1443" s="309">
        <v>2</v>
      </c>
      <c r="J1443" s="299">
        <v>0.04</v>
      </c>
      <c r="K1443" s="300"/>
      <c r="L1443" s="301" t="s">
        <v>2362</v>
      </c>
    </row>
    <row r="1444" spans="1:12">
      <c r="A1444" s="290"/>
      <c r="B1444" s="291"/>
      <c r="C1444" s="296"/>
      <c r="D1444" s="301"/>
      <c r="E1444" s="303"/>
      <c r="F1444" s="297" t="s">
        <v>1317</v>
      </c>
      <c r="G1444" s="301" t="s">
        <v>1210</v>
      </c>
      <c r="H1444" s="296"/>
      <c r="I1444" s="309">
        <v>12</v>
      </c>
      <c r="J1444" s="299">
        <v>0.03</v>
      </c>
      <c r="K1444" s="300"/>
      <c r="L1444" s="301" t="s">
        <v>2863</v>
      </c>
    </row>
    <row r="1445" spans="1:12" ht="15">
      <c r="A1445" s="102"/>
      <c r="B1445" s="291"/>
      <c r="C1445" s="296"/>
      <c r="D1445" s="301" t="s">
        <v>1232</v>
      </c>
      <c r="E1445" s="303" t="s">
        <v>1311</v>
      </c>
      <c r="F1445" s="297"/>
      <c r="G1445" s="301"/>
      <c r="H1445" s="296" t="s">
        <v>1602</v>
      </c>
      <c r="I1445" s="309">
        <v>1</v>
      </c>
      <c r="J1445" s="299">
        <v>0.16</v>
      </c>
      <c r="K1445" s="300" t="s">
        <v>3884</v>
      </c>
      <c r="L1445" s="301" t="s">
        <v>1603</v>
      </c>
    </row>
    <row r="1446" spans="1:12" ht="15">
      <c r="A1446" s="102"/>
      <c r="D1446" s="333"/>
      <c r="F1446" s="96"/>
      <c r="H1446" s="96"/>
      <c r="I1446" s="397"/>
      <c r="J1446" s="96"/>
      <c r="K1446" s="96"/>
      <c r="L1446" s="333"/>
    </row>
    <row r="1447" spans="1:12">
      <c r="A1447" s="290"/>
      <c r="B1447" s="291" t="s">
        <v>9</v>
      </c>
      <c r="C1447" s="292" t="s">
        <v>116</v>
      </c>
      <c r="D1447" s="335"/>
      <c r="E1447" s="408"/>
      <c r="F1447" s="293"/>
      <c r="G1447" s="335"/>
      <c r="H1447" s="292"/>
      <c r="I1447" s="428">
        <v>2</v>
      </c>
      <c r="J1447" s="294"/>
      <c r="K1447" s="295"/>
      <c r="L1447" s="335" t="s">
        <v>1608</v>
      </c>
    </row>
    <row r="1448" spans="1:12" ht="28.5">
      <c r="A1448" s="290"/>
      <c r="B1448" s="291"/>
      <c r="C1448" s="296"/>
      <c r="D1448" s="302" t="s">
        <v>3294</v>
      </c>
      <c r="E1448" s="303" t="s">
        <v>1302</v>
      </c>
      <c r="F1448" s="297"/>
      <c r="G1448" s="301"/>
      <c r="H1448" s="307" t="s">
        <v>3025</v>
      </c>
      <c r="I1448" s="309">
        <v>4</v>
      </c>
      <c r="J1448" s="299"/>
      <c r="K1448" s="300"/>
      <c r="L1448" s="301" t="s">
        <v>1609</v>
      </c>
    </row>
    <row r="1449" spans="1:12">
      <c r="A1449" s="290"/>
      <c r="B1449" s="291"/>
      <c r="C1449" s="296"/>
      <c r="D1449" s="301"/>
      <c r="E1449" s="303"/>
      <c r="F1449" s="297" t="s">
        <v>1305</v>
      </c>
      <c r="G1449" s="301" t="s">
        <v>1007</v>
      </c>
      <c r="H1449" s="296" t="s">
        <v>1362</v>
      </c>
      <c r="I1449" s="309">
        <v>1</v>
      </c>
      <c r="J1449" s="299">
        <v>0.11</v>
      </c>
      <c r="K1449" s="300"/>
      <c r="L1449" s="301" t="s">
        <v>1613</v>
      </c>
    </row>
    <row r="1450" spans="1:12">
      <c r="A1450" s="290"/>
      <c r="B1450" s="291"/>
      <c r="C1450" s="296"/>
      <c r="D1450" s="301"/>
      <c r="E1450" s="303"/>
      <c r="F1450" s="297" t="s">
        <v>1317</v>
      </c>
      <c r="G1450" s="301" t="s">
        <v>1157</v>
      </c>
      <c r="H1450" s="296" t="s">
        <v>1339</v>
      </c>
      <c r="I1450" s="309">
        <v>1</v>
      </c>
      <c r="J1450" s="299">
        <v>0.57999999999999996</v>
      </c>
      <c r="K1450" s="300"/>
      <c r="L1450" s="301" t="s">
        <v>1614</v>
      </c>
    </row>
    <row r="1451" spans="1:12">
      <c r="A1451" s="290"/>
      <c r="B1451" s="291"/>
      <c r="C1451" s="296"/>
      <c r="D1451" s="301"/>
      <c r="E1451" s="303"/>
      <c r="F1451" s="297" t="s">
        <v>1317</v>
      </c>
      <c r="G1451" s="301" t="s">
        <v>1222</v>
      </c>
      <c r="H1451" s="296" t="s">
        <v>3944</v>
      </c>
      <c r="I1451" s="309">
        <v>1</v>
      </c>
      <c r="J1451" s="299">
        <v>0.56000000000000005</v>
      </c>
      <c r="K1451" s="300"/>
      <c r="L1451" s="301" t="s">
        <v>1615</v>
      </c>
    </row>
    <row r="1452" spans="1:12">
      <c r="A1452" s="290"/>
      <c r="B1452" s="291"/>
      <c r="C1452" s="296"/>
      <c r="D1452" s="301"/>
      <c r="E1452" s="303"/>
      <c r="F1452" s="297" t="s">
        <v>1317</v>
      </c>
      <c r="G1452" s="301" t="s">
        <v>1539</v>
      </c>
      <c r="H1452" s="296" t="s">
        <v>1540</v>
      </c>
      <c r="I1452" s="309">
        <v>1</v>
      </c>
      <c r="J1452" s="299">
        <v>2.81</v>
      </c>
      <c r="K1452" s="300"/>
      <c r="L1452" s="301" t="s">
        <v>1616</v>
      </c>
    </row>
    <row r="1453" spans="1:12">
      <c r="A1453" s="290"/>
      <c r="B1453" s="291"/>
      <c r="C1453" s="296"/>
      <c r="D1453" s="301"/>
      <c r="E1453" s="303"/>
      <c r="F1453" s="297" t="s">
        <v>1317</v>
      </c>
      <c r="G1453" s="340" t="s">
        <v>1572</v>
      </c>
      <c r="H1453" s="296" t="s">
        <v>1571</v>
      </c>
      <c r="I1453" s="309">
        <v>1</v>
      </c>
      <c r="J1453" s="299">
        <v>0.02</v>
      </c>
      <c r="K1453" s="300"/>
      <c r="L1453" s="301" t="s">
        <v>1617</v>
      </c>
    </row>
    <row r="1454" spans="1:12">
      <c r="A1454" s="290"/>
      <c r="B1454" s="291"/>
      <c r="C1454" s="296"/>
      <c r="D1454" s="301"/>
      <c r="E1454" s="303"/>
      <c r="F1454" s="297" t="s">
        <v>1317</v>
      </c>
      <c r="G1454" s="340" t="s">
        <v>1199</v>
      </c>
      <c r="H1454" s="296" t="s">
        <v>2363</v>
      </c>
      <c r="I1454" s="309">
        <v>4</v>
      </c>
      <c r="J1454" s="299">
        <v>0.37</v>
      </c>
      <c r="K1454" s="300"/>
      <c r="L1454" s="301" t="s">
        <v>2364</v>
      </c>
    </row>
    <row r="1455" spans="1:12">
      <c r="A1455" s="290"/>
      <c r="B1455" s="291"/>
      <c r="C1455" s="296"/>
      <c r="D1455" s="301"/>
      <c r="E1455" s="303"/>
      <c r="F1455" s="297" t="s">
        <v>1317</v>
      </c>
      <c r="G1455" s="340" t="s">
        <v>1223</v>
      </c>
      <c r="H1455" s="296" t="s">
        <v>3944</v>
      </c>
      <c r="I1455" s="309">
        <v>1</v>
      </c>
      <c r="J1455" s="299">
        <v>0.94</v>
      </c>
      <c r="K1455" s="300"/>
      <c r="L1455" s="301" t="s">
        <v>3885</v>
      </c>
    </row>
    <row r="1456" spans="1:12" ht="28.5">
      <c r="A1456" s="102"/>
      <c r="B1456" s="291"/>
      <c r="C1456" s="296"/>
      <c r="D1456" s="302" t="s">
        <v>2365</v>
      </c>
      <c r="E1456" s="303" t="s">
        <v>1302</v>
      </c>
      <c r="F1456" s="297"/>
      <c r="G1456" s="301"/>
      <c r="H1456" s="296"/>
      <c r="I1456" s="309">
        <v>1</v>
      </c>
      <c r="J1456" s="299"/>
      <c r="K1456" s="300"/>
      <c r="L1456" s="301" t="s">
        <v>1610</v>
      </c>
    </row>
    <row r="1457" spans="1:12" ht="29.25">
      <c r="A1457" s="102"/>
      <c r="B1457" s="291"/>
      <c r="C1457" s="296"/>
      <c r="D1457" s="301"/>
      <c r="E1457" s="303"/>
      <c r="F1457" s="303" t="s">
        <v>1305</v>
      </c>
      <c r="G1457" s="301" t="s">
        <v>999</v>
      </c>
      <c r="H1457" s="307" t="s">
        <v>3312</v>
      </c>
      <c r="I1457" s="309">
        <v>8</v>
      </c>
      <c r="J1457" s="299">
        <v>18.18</v>
      </c>
      <c r="K1457" s="300" t="s">
        <v>3886</v>
      </c>
      <c r="L1457" s="301" t="s">
        <v>1618</v>
      </c>
    </row>
    <row r="1458" spans="1:12" ht="15">
      <c r="A1458" s="102"/>
      <c r="B1458" s="291"/>
      <c r="C1458" s="296"/>
      <c r="D1458" s="301"/>
      <c r="E1458" s="303"/>
      <c r="F1458" s="297" t="s">
        <v>1317</v>
      </c>
      <c r="G1458" s="301" t="s">
        <v>1180</v>
      </c>
      <c r="H1458" s="296" t="s">
        <v>1542</v>
      </c>
      <c r="I1458" s="309">
        <v>1</v>
      </c>
      <c r="J1458" s="299">
        <v>0.93</v>
      </c>
      <c r="K1458" s="300"/>
      <c r="L1458" s="301" t="s">
        <v>1619</v>
      </c>
    </row>
    <row r="1459" spans="1:12" ht="15">
      <c r="A1459" s="102"/>
      <c r="B1459" s="291"/>
      <c r="C1459" s="296"/>
      <c r="D1459" s="301"/>
      <c r="E1459" s="303"/>
      <c r="F1459" s="297" t="s">
        <v>1317</v>
      </c>
      <c r="G1459" s="301" t="s">
        <v>1211</v>
      </c>
      <c r="H1459" s="296" t="s">
        <v>1543</v>
      </c>
      <c r="I1459" s="309">
        <v>1</v>
      </c>
      <c r="J1459" s="299">
        <v>0.04</v>
      </c>
      <c r="K1459" s="300"/>
      <c r="L1459" s="301" t="s">
        <v>1620</v>
      </c>
    </row>
    <row r="1460" spans="1:12" ht="15">
      <c r="A1460" s="102"/>
      <c r="B1460" s="291"/>
      <c r="C1460" s="296"/>
      <c r="D1460" s="301"/>
      <c r="E1460" s="303"/>
      <c r="F1460" s="297" t="s">
        <v>1317</v>
      </c>
      <c r="G1460" s="301" t="s">
        <v>1544</v>
      </c>
      <c r="H1460" s="296" t="s">
        <v>1557</v>
      </c>
      <c r="I1460" s="309">
        <v>1</v>
      </c>
      <c r="J1460" s="299">
        <v>0.06</v>
      </c>
      <c r="K1460" s="300"/>
      <c r="L1460" s="301" t="s">
        <v>1621</v>
      </c>
    </row>
    <row r="1461" spans="1:12" ht="15">
      <c r="A1461" s="102"/>
      <c r="B1461" s="291"/>
      <c r="C1461" s="296"/>
      <c r="D1461" s="301"/>
      <c r="E1461" s="303"/>
      <c r="F1461" s="297" t="s">
        <v>1317</v>
      </c>
      <c r="G1461" s="301" t="s">
        <v>1572</v>
      </c>
      <c r="H1461" s="296" t="s">
        <v>1571</v>
      </c>
      <c r="I1461" s="309">
        <v>1</v>
      </c>
      <c r="J1461" s="299">
        <v>0.11</v>
      </c>
      <c r="K1461" s="300"/>
      <c r="L1461" s="301" t="s">
        <v>1622</v>
      </c>
    </row>
    <row r="1462" spans="1:12" ht="29.25">
      <c r="A1462" s="102"/>
      <c r="B1462" s="291"/>
      <c r="C1462" s="296"/>
      <c r="D1462" s="301"/>
      <c r="E1462" s="303"/>
      <c r="F1462" s="297" t="s">
        <v>1317</v>
      </c>
      <c r="G1462" s="301" t="s">
        <v>1199</v>
      </c>
      <c r="H1462" s="307" t="s">
        <v>2367</v>
      </c>
      <c r="I1462" s="309">
        <v>1</v>
      </c>
      <c r="J1462" s="299">
        <v>0.37</v>
      </c>
      <c r="K1462" s="300"/>
      <c r="L1462" s="301" t="s">
        <v>2366</v>
      </c>
    </row>
    <row r="1463" spans="1:12" ht="15">
      <c r="A1463" s="102"/>
      <c r="B1463" s="291"/>
      <c r="C1463" s="296"/>
      <c r="D1463" s="301"/>
      <c r="E1463" s="303"/>
      <c r="F1463" s="297" t="s">
        <v>1317</v>
      </c>
      <c r="G1463" s="301" t="s">
        <v>1199</v>
      </c>
      <c r="H1463" s="307" t="s">
        <v>2368</v>
      </c>
      <c r="I1463" s="309">
        <v>2</v>
      </c>
      <c r="J1463" s="299">
        <v>0.37</v>
      </c>
      <c r="K1463" s="300"/>
      <c r="L1463" s="301" t="s">
        <v>2369</v>
      </c>
    </row>
    <row r="1464" spans="1:12" ht="15">
      <c r="A1464" s="102"/>
      <c r="B1464" s="291"/>
      <c r="C1464" s="296"/>
      <c r="D1464" s="301" t="s">
        <v>1611</v>
      </c>
      <c r="E1464" s="303" t="s">
        <v>1302</v>
      </c>
      <c r="F1464" s="297"/>
      <c r="G1464" s="301"/>
      <c r="H1464" s="296"/>
      <c r="I1464" s="309">
        <v>1</v>
      </c>
      <c r="J1464" s="299"/>
      <c r="K1464" s="300"/>
      <c r="L1464" s="301" t="s">
        <v>1612</v>
      </c>
    </row>
    <row r="1465" spans="1:12" ht="15">
      <c r="A1465" s="102"/>
      <c r="B1465" s="291"/>
      <c r="C1465" s="296"/>
      <c r="D1465" s="301"/>
      <c r="E1465" s="303"/>
      <c r="F1465" s="297" t="s">
        <v>1305</v>
      </c>
      <c r="G1465" s="301" t="s">
        <v>999</v>
      </c>
      <c r="H1465" s="296" t="s">
        <v>1553</v>
      </c>
      <c r="I1465" s="309">
        <v>8</v>
      </c>
      <c r="J1465" s="299">
        <v>7.72</v>
      </c>
      <c r="K1465" s="300" t="s">
        <v>3887</v>
      </c>
      <c r="L1465" s="301" t="s">
        <v>1624</v>
      </c>
    </row>
    <row r="1466" spans="1:12" ht="15">
      <c r="A1466" s="102"/>
      <c r="B1466" s="291"/>
      <c r="C1466" s="296"/>
      <c r="D1466" s="301"/>
      <c r="E1466" s="303"/>
      <c r="F1466" s="297" t="s">
        <v>1317</v>
      </c>
      <c r="G1466" s="301" t="s">
        <v>1180</v>
      </c>
      <c r="H1466" s="296" t="s">
        <v>1542</v>
      </c>
      <c r="I1466" s="309">
        <v>1</v>
      </c>
      <c r="J1466" s="299">
        <v>0.93</v>
      </c>
      <c r="K1466" s="300"/>
      <c r="L1466" s="301" t="s">
        <v>1625</v>
      </c>
    </row>
    <row r="1467" spans="1:12" ht="15">
      <c r="A1467" s="102"/>
      <c r="B1467" s="291"/>
      <c r="C1467" s="296"/>
      <c r="D1467" s="301"/>
      <c r="E1467" s="303"/>
      <c r="F1467" s="297" t="s">
        <v>1317</v>
      </c>
      <c r="G1467" s="301" t="s">
        <v>1211</v>
      </c>
      <c r="H1467" s="296" t="s">
        <v>1543</v>
      </c>
      <c r="I1467" s="309">
        <v>1</v>
      </c>
      <c r="J1467" s="299">
        <v>0.04</v>
      </c>
      <c r="K1467" s="300"/>
      <c r="L1467" s="301" t="s">
        <v>1626</v>
      </c>
    </row>
    <row r="1468" spans="1:12" ht="15">
      <c r="A1468" s="102"/>
      <c r="B1468" s="291"/>
      <c r="C1468" s="296"/>
      <c r="D1468" s="301"/>
      <c r="E1468" s="303"/>
      <c r="F1468" s="297" t="s">
        <v>1317</v>
      </c>
      <c r="G1468" s="301" t="s">
        <v>1544</v>
      </c>
      <c r="H1468" s="296" t="s">
        <v>1557</v>
      </c>
      <c r="I1468" s="309">
        <v>1</v>
      </c>
      <c r="J1468" s="299">
        <v>0.06</v>
      </c>
      <c r="K1468" s="300"/>
      <c r="L1468" s="301" t="s">
        <v>1627</v>
      </c>
    </row>
    <row r="1469" spans="1:12" ht="15">
      <c r="A1469" s="102"/>
      <c r="B1469" s="291"/>
      <c r="C1469" s="296"/>
      <c r="D1469" s="301"/>
      <c r="E1469" s="303"/>
      <c r="F1469" s="297" t="s">
        <v>1317</v>
      </c>
      <c r="G1469" s="301" t="s">
        <v>1572</v>
      </c>
      <c r="H1469" s="296" t="s">
        <v>1571</v>
      </c>
      <c r="I1469" s="309">
        <v>1</v>
      </c>
      <c r="J1469" s="299">
        <v>0.11</v>
      </c>
      <c r="K1469" s="300"/>
      <c r="L1469" s="301" t="s">
        <v>1628</v>
      </c>
    </row>
    <row r="1470" spans="1:12" ht="29.25">
      <c r="A1470" s="102"/>
      <c r="B1470" s="291"/>
      <c r="C1470" s="296"/>
      <c r="D1470" s="301"/>
      <c r="E1470" s="303"/>
      <c r="F1470" s="297" t="s">
        <v>1317</v>
      </c>
      <c r="G1470" s="301" t="s">
        <v>1199</v>
      </c>
      <c r="H1470" s="307" t="s">
        <v>2371</v>
      </c>
      <c r="I1470" s="309">
        <v>1</v>
      </c>
      <c r="J1470" s="299">
        <v>0.37</v>
      </c>
      <c r="K1470" s="300"/>
      <c r="L1470" s="301" t="s">
        <v>2370</v>
      </c>
    </row>
    <row r="1471" spans="1:12" ht="15">
      <c r="A1471" s="102"/>
      <c r="B1471" s="291"/>
      <c r="C1471" s="296"/>
      <c r="D1471" s="301"/>
      <c r="E1471" s="303"/>
      <c r="F1471" s="297" t="s">
        <v>1317</v>
      </c>
      <c r="G1471" s="301" t="s">
        <v>1199</v>
      </c>
      <c r="H1471" s="307" t="s">
        <v>2372</v>
      </c>
      <c r="I1471" s="309">
        <v>2</v>
      </c>
      <c r="J1471" s="299">
        <v>0.37</v>
      </c>
      <c r="K1471" s="300"/>
      <c r="L1471" s="301" t="s">
        <v>2373</v>
      </c>
    </row>
    <row r="1472" spans="1:12" ht="28.5">
      <c r="A1472" s="102"/>
      <c r="B1472" s="291"/>
      <c r="C1472" s="296"/>
      <c r="D1472" s="302" t="s">
        <v>2374</v>
      </c>
      <c r="E1472" s="303" t="s">
        <v>1302</v>
      </c>
      <c r="F1472" s="297"/>
      <c r="G1472" s="301"/>
      <c r="H1472" s="302" t="s">
        <v>1639</v>
      </c>
      <c r="I1472" s="309">
        <v>2</v>
      </c>
      <c r="J1472" s="299"/>
      <c r="K1472" s="300"/>
      <c r="L1472" s="301" t="s">
        <v>1629</v>
      </c>
    </row>
    <row r="1473" spans="1:12" ht="15">
      <c r="A1473" s="102"/>
      <c r="B1473" s="291"/>
      <c r="C1473" s="296"/>
      <c r="D1473" s="301"/>
      <c r="E1473" s="303"/>
      <c r="F1473" s="297" t="s">
        <v>1317</v>
      </c>
      <c r="G1473" s="301" t="s">
        <v>1561</v>
      </c>
      <c r="H1473" s="296" t="s">
        <v>3945</v>
      </c>
      <c r="I1473" s="309">
        <v>2</v>
      </c>
      <c r="J1473" s="299">
        <v>0.09</v>
      </c>
      <c r="K1473" s="300"/>
      <c r="L1473" s="301" t="s">
        <v>1630</v>
      </c>
    </row>
    <row r="1474" spans="1:12" ht="15">
      <c r="A1474" s="102"/>
      <c r="B1474" s="291"/>
      <c r="C1474" s="296"/>
      <c r="D1474" s="301"/>
      <c r="E1474" s="303"/>
      <c r="F1474" s="297" t="s">
        <v>1317</v>
      </c>
      <c r="G1474" s="301" t="s">
        <v>1206</v>
      </c>
      <c r="H1474" s="296" t="s">
        <v>1578</v>
      </c>
      <c r="I1474" s="309">
        <v>1</v>
      </c>
      <c r="J1474" s="299">
        <v>11.68</v>
      </c>
      <c r="K1474" s="300" t="s">
        <v>3873</v>
      </c>
      <c r="L1474" s="301" t="s">
        <v>1631</v>
      </c>
    </row>
    <row r="1475" spans="1:12" ht="29.25">
      <c r="A1475" s="102"/>
      <c r="B1475" s="291"/>
      <c r="C1475" s="296"/>
      <c r="D1475" s="301"/>
      <c r="E1475" s="303"/>
      <c r="F1475" s="297" t="s">
        <v>1317</v>
      </c>
      <c r="G1475" s="301" t="s">
        <v>1199</v>
      </c>
      <c r="H1475" s="307" t="s">
        <v>2865</v>
      </c>
      <c r="I1475" s="309">
        <v>2</v>
      </c>
      <c r="J1475" s="299">
        <v>0.37</v>
      </c>
      <c r="K1475" s="300"/>
      <c r="L1475" s="301" t="s">
        <v>1632</v>
      </c>
    </row>
    <row r="1476" spans="1:12" ht="15">
      <c r="A1476" s="102"/>
      <c r="B1476" s="291"/>
      <c r="C1476" s="296"/>
      <c r="D1476" s="301"/>
      <c r="E1476" s="303"/>
      <c r="F1476" s="297" t="s">
        <v>1317</v>
      </c>
      <c r="G1476" s="301" t="s">
        <v>1636</v>
      </c>
      <c r="H1476" s="296" t="s">
        <v>1637</v>
      </c>
      <c r="I1476" s="309">
        <v>1</v>
      </c>
      <c r="J1476" s="299">
        <v>0</v>
      </c>
      <c r="K1476" s="300"/>
      <c r="L1476" s="301" t="s">
        <v>1638</v>
      </c>
    </row>
    <row r="1477" spans="1:12" ht="29.25">
      <c r="A1477" s="102"/>
      <c r="B1477" s="291"/>
      <c r="C1477" s="296"/>
      <c r="D1477" s="301"/>
      <c r="E1477" s="303"/>
      <c r="F1477" s="303" t="s">
        <v>1317</v>
      </c>
      <c r="G1477" s="301" t="s">
        <v>1199</v>
      </c>
      <c r="H1477" s="307" t="s">
        <v>3033</v>
      </c>
      <c r="I1477" s="309">
        <v>1</v>
      </c>
      <c r="J1477" s="299">
        <v>0.37</v>
      </c>
      <c r="K1477" s="300"/>
      <c r="L1477" s="301" t="s">
        <v>2864</v>
      </c>
    </row>
    <row r="1478" spans="1:12" ht="15">
      <c r="A1478" s="102"/>
      <c r="B1478" s="291"/>
      <c r="C1478" s="296"/>
      <c r="D1478" s="301"/>
      <c r="E1478" s="303"/>
      <c r="F1478" s="303" t="s">
        <v>1309</v>
      </c>
      <c r="G1478" s="301" t="s">
        <v>1228</v>
      </c>
      <c r="H1478" s="307" t="s">
        <v>3888</v>
      </c>
      <c r="I1478" s="309">
        <v>1</v>
      </c>
      <c r="J1478" s="299">
        <v>0.13</v>
      </c>
      <c r="K1478" s="300"/>
      <c r="L1478" s="301" t="s">
        <v>3034</v>
      </c>
    </row>
    <row r="1479" spans="1:12" ht="15">
      <c r="A1479" s="102"/>
      <c r="B1479" s="291"/>
      <c r="C1479" s="296"/>
      <c r="D1479" s="301"/>
      <c r="E1479" s="303"/>
      <c r="F1479" s="303" t="s">
        <v>1309</v>
      </c>
      <c r="G1479" s="301" t="s">
        <v>1230</v>
      </c>
      <c r="H1479" s="307" t="s">
        <v>1565</v>
      </c>
      <c r="I1479" s="309">
        <v>1</v>
      </c>
      <c r="J1479" s="299">
        <v>0.04</v>
      </c>
      <c r="K1479" s="300"/>
      <c r="L1479" s="301" t="s">
        <v>3035</v>
      </c>
    </row>
    <row r="1480" spans="1:12" ht="15">
      <c r="A1480" s="102"/>
      <c r="B1480" s="291"/>
      <c r="C1480" s="296"/>
      <c r="D1480" s="301"/>
      <c r="E1480" s="303"/>
      <c r="F1480" s="303" t="s">
        <v>1317</v>
      </c>
      <c r="G1480" s="301" t="s">
        <v>1210</v>
      </c>
      <c r="H1480" s="307"/>
      <c r="I1480" s="309">
        <v>2</v>
      </c>
      <c r="J1480" s="299">
        <v>0.03</v>
      </c>
      <c r="K1480" s="300"/>
      <c r="L1480" s="301" t="s">
        <v>3036</v>
      </c>
    </row>
    <row r="1481" spans="1:12" ht="15">
      <c r="A1481" s="102"/>
      <c r="D1481" s="333"/>
      <c r="F1481" s="96"/>
      <c r="H1481" s="96"/>
      <c r="I1481" s="397"/>
      <c r="J1481" s="96"/>
      <c r="K1481" s="96"/>
      <c r="L1481" s="333"/>
    </row>
    <row r="1482" spans="1:12">
      <c r="A1482" s="290"/>
      <c r="B1482" s="291" t="s">
        <v>9</v>
      </c>
      <c r="C1482" s="292" t="s">
        <v>119</v>
      </c>
      <c r="D1482" s="335"/>
      <c r="E1482" s="408"/>
      <c r="F1482" s="293"/>
      <c r="G1482" s="335"/>
      <c r="H1482" s="292"/>
      <c r="I1482" s="428">
        <v>2</v>
      </c>
      <c r="J1482" s="294"/>
      <c r="K1482" s="295"/>
      <c r="L1482" s="335" t="s">
        <v>1640</v>
      </c>
    </row>
    <row r="1483" spans="1:12" ht="28.5">
      <c r="A1483" s="290"/>
      <c r="B1483" s="291"/>
      <c r="C1483" s="296"/>
      <c r="D1483" s="302" t="s">
        <v>1643</v>
      </c>
      <c r="E1483" s="303" t="s">
        <v>1311</v>
      </c>
      <c r="F1483" s="312"/>
      <c r="G1483" s="301"/>
      <c r="H1483" s="302"/>
      <c r="I1483" s="309">
        <v>11</v>
      </c>
      <c r="J1483" s="313">
        <v>3.17</v>
      </c>
      <c r="K1483" s="311"/>
      <c r="L1483" s="301" t="s">
        <v>1641</v>
      </c>
    </row>
    <row r="1484" spans="1:12" ht="28.5">
      <c r="A1484" s="102"/>
      <c r="B1484" s="291"/>
      <c r="C1484" s="296"/>
      <c r="D1484" s="302" t="s">
        <v>1644</v>
      </c>
      <c r="E1484" s="303" t="s">
        <v>1311</v>
      </c>
      <c r="F1484" s="312"/>
      <c r="G1484" s="301"/>
      <c r="H1484" s="302"/>
      <c r="I1484" s="309">
        <v>3</v>
      </c>
      <c r="J1484" s="313">
        <v>3.17</v>
      </c>
      <c r="K1484" s="311"/>
      <c r="L1484" s="301" t="s">
        <v>1642</v>
      </c>
    </row>
    <row r="1485" spans="1:12" ht="15">
      <c r="A1485" s="102"/>
      <c r="D1485" s="333"/>
      <c r="F1485" s="96"/>
      <c r="H1485" s="96"/>
      <c r="I1485" s="397"/>
      <c r="J1485" s="96"/>
      <c r="K1485" s="96"/>
      <c r="L1485" s="333"/>
    </row>
    <row r="1486" spans="1:12">
      <c r="A1486" s="290"/>
      <c r="B1486" s="291" t="s">
        <v>9</v>
      </c>
      <c r="C1486" s="292" t="s">
        <v>118</v>
      </c>
      <c r="D1486" s="335"/>
      <c r="E1486" s="408"/>
      <c r="F1486" s="293"/>
      <c r="G1486" s="335"/>
      <c r="H1486" s="292"/>
      <c r="I1486" s="428">
        <v>2</v>
      </c>
      <c r="J1486" s="294"/>
      <c r="K1486" s="295"/>
      <c r="L1486" s="335" t="s">
        <v>1651</v>
      </c>
    </row>
    <row r="1487" spans="1:12">
      <c r="A1487" s="290"/>
      <c r="B1487" s="291"/>
      <c r="C1487" s="296"/>
      <c r="D1487" s="301" t="s">
        <v>1650</v>
      </c>
      <c r="E1487" s="303" t="s">
        <v>1302</v>
      </c>
      <c r="F1487" s="297"/>
      <c r="G1487" s="301"/>
      <c r="H1487" s="296"/>
      <c r="I1487" s="309">
        <v>1</v>
      </c>
      <c r="J1487" s="299"/>
      <c r="K1487" s="300"/>
      <c r="L1487" s="301" t="s">
        <v>1652</v>
      </c>
    </row>
    <row r="1488" spans="1:12">
      <c r="A1488" s="290"/>
      <c r="B1488" s="291"/>
      <c r="C1488" s="296"/>
      <c r="D1488" s="301"/>
      <c r="E1488" s="303"/>
      <c r="F1488" s="297" t="s">
        <v>1305</v>
      </c>
      <c r="G1488" s="301" t="s">
        <v>1007</v>
      </c>
      <c r="H1488" s="296" t="s">
        <v>1362</v>
      </c>
      <c r="I1488" s="309">
        <v>1</v>
      </c>
      <c r="J1488" s="299">
        <v>8.91</v>
      </c>
      <c r="K1488" s="300" t="s">
        <v>3889</v>
      </c>
      <c r="L1488" s="301" t="s">
        <v>2060</v>
      </c>
    </row>
    <row r="1489" spans="1:12">
      <c r="A1489" s="290"/>
      <c r="B1489" s="291"/>
      <c r="C1489" s="296"/>
      <c r="D1489" s="301"/>
      <c r="E1489" s="303"/>
      <c r="F1489" s="297" t="s">
        <v>1317</v>
      </c>
      <c r="G1489" s="301" t="s">
        <v>1157</v>
      </c>
      <c r="H1489" s="296" t="s">
        <v>1600</v>
      </c>
      <c r="I1489" s="309">
        <v>1</v>
      </c>
      <c r="J1489" s="299">
        <v>128.74</v>
      </c>
      <c r="K1489" s="300" t="s">
        <v>3890</v>
      </c>
      <c r="L1489" s="301" t="s">
        <v>2061</v>
      </c>
    </row>
    <row r="1490" spans="1:12">
      <c r="A1490" s="290"/>
      <c r="B1490" s="291"/>
      <c r="C1490" s="296"/>
      <c r="D1490" s="301"/>
      <c r="E1490" s="303"/>
      <c r="F1490" s="297" t="s">
        <v>1309</v>
      </c>
      <c r="G1490" s="301" t="s">
        <v>665</v>
      </c>
      <c r="H1490" s="296" t="s">
        <v>2062</v>
      </c>
      <c r="I1490" s="309">
        <v>1</v>
      </c>
      <c r="J1490" s="299">
        <v>5.12</v>
      </c>
      <c r="K1490" s="300" t="s">
        <v>3891</v>
      </c>
      <c r="L1490" s="301" t="s">
        <v>2063</v>
      </c>
    </row>
    <row r="1491" spans="1:12">
      <c r="A1491" s="290"/>
      <c r="B1491" s="291"/>
      <c r="C1491" s="296"/>
      <c r="D1491" s="301"/>
      <c r="E1491" s="303"/>
      <c r="F1491" s="297" t="s">
        <v>1309</v>
      </c>
      <c r="G1491" s="301" t="s">
        <v>1228</v>
      </c>
      <c r="H1491" s="296" t="s">
        <v>3892</v>
      </c>
      <c r="I1491" s="309">
        <v>2</v>
      </c>
      <c r="J1491" s="299">
        <v>0.09</v>
      </c>
      <c r="K1491" s="300"/>
      <c r="L1491" s="301" t="s">
        <v>2064</v>
      </c>
    </row>
    <row r="1492" spans="1:12">
      <c r="A1492" s="290"/>
      <c r="B1492" s="291"/>
      <c r="C1492" s="296"/>
      <c r="D1492" s="301"/>
      <c r="E1492" s="303"/>
      <c r="F1492" s="297" t="s">
        <v>1317</v>
      </c>
      <c r="G1492" s="301" t="s">
        <v>1199</v>
      </c>
      <c r="H1492" s="296" t="s">
        <v>3946</v>
      </c>
      <c r="I1492" s="309">
        <v>2</v>
      </c>
      <c r="J1492" s="299">
        <v>0.65</v>
      </c>
      <c r="K1492" s="300"/>
      <c r="L1492" s="301" t="s">
        <v>2375</v>
      </c>
    </row>
    <row r="1493" spans="1:12">
      <c r="A1493" s="290"/>
      <c r="B1493" s="291"/>
      <c r="C1493" s="296"/>
      <c r="D1493" s="301"/>
      <c r="E1493" s="303"/>
      <c r="F1493" s="297" t="s">
        <v>1317</v>
      </c>
      <c r="G1493" s="301" t="s">
        <v>1199</v>
      </c>
      <c r="H1493" s="296" t="s">
        <v>2356</v>
      </c>
      <c r="I1493" s="309">
        <v>1</v>
      </c>
      <c r="J1493" s="299">
        <v>0.65</v>
      </c>
      <c r="K1493" s="300"/>
      <c r="L1493" s="301" t="s">
        <v>2376</v>
      </c>
    </row>
    <row r="1494" spans="1:12">
      <c r="A1494" s="290"/>
      <c r="B1494" s="291"/>
      <c r="C1494" s="296"/>
      <c r="D1494" s="301"/>
      <c r="E1494" s="303"/>
      <c r="F1494" s="297" t="s">
        <v>1317</v>
      </c>
      <c r="G1494" s="301" t="s">
        <v>1199</v>
      </c>
      <c r="H1494" s="296" t="s">
        <v>2358</v>
      </c>
      <c r="I1494" s="309">
        <v>1</v>
      </c>
      <c r="J1494" s="299">
        <v>7.0000000000000007E-2</v>
      </c>
      <c r="K1494" s="300"/>
      <c r="L1494" s="301" t="s">
        <v>2377</v>
      </c>
    </row>
    <row r="1495" spans="1:12">
      <c r="A1495" s="290"/>
      <c r="B1495" s="291"/>
      <c r="C1495" s="296"/>
      <c r="D1495" s="301"/>
      <c r="E1495" s="303"/>
      <c r="F1495" s="297" t="s">
        <v>1309</v>
      </c>
      <c r="G1495" s="301" t="s">
        <v>1228</v>
      </c>
      <c r="H1495" s="296" t="s">
        <v>3852</v>
      </c>
      <c r="I1495" s="309">
        <v>2</v>
      </c>
      <c r="J1495" s="299">
        <v>0.16</v>
      </c>
      <c r="K1495" s="300"/>
      <c r="L1495" s="301" t="s">
        <v>2378</v>
      </c>
    </row>
    <row r="1496" spans="1:12">
      <c r="A1496" s="290"/>
      <c r="B1496" s="291"/>
      <c r="C1496" s="296"/>
      <c r="D1496" s="301"/>
      <c r="E1496" s="303"/>
      <c r="F1496" s="297" t="s">
        <v>1309</v>
      </c>
      <c r="G1496" s="301" t="s">
        <v>1210</v>
      </c>
      <c r="H1496" s="296" t="s">
        <v>1565</v>
      </c>
      <c r="I1496" s="309">
        <v>8</v>
      </c>
      <c r="J1496" s="299">
        <v>0.03</v>
      </c>
      <c r="K1496" s="300"/>
      <c r="L1496" s="301" t="s">
        <v>2379</v>
      </c>
    </row>
    <row r="1497" spans="1:12">
      <c r="A1497" s="290"/>
      <c r="B1497" s="291"/>
      <c r="C1497" s="296"/>
      <c r="D1497" s="301"/>
      <c r="E1497" s="303"/>
      <c r="F1497" s="297" t="s">
        <v>1309</v>
      </c>
      <c r="G1497" s="301" t="s">
        <v>1230</v>
      </c>
      <c r="H1497" s="296" t="s">
        <v>3022</v>
      </c>
      <c r="I1497" s="309">
        <v>2</v>
      </c>
      <c r="J1497" s="299">
        <v>0.04</v>
      </c>
      <c r="K1497" s="300"/>
      <c r="L1497" s="301" t="s">
        <v>2380</v>
      </c>
    </row>
    <row r="1498" spans="1:12" ht="15">
      <c r="A1498" s="102"/>
      <c r="B1498" s="291"/>
      <c r="C1498" s="296"/>
      <c r="D1498" s="301" t="s">
        <v>1232</v>
      </c>
      <c r="E1498" s="303" t="s">
        <v>1311</v>
      </c>
      <c r="F1498" s="297"/>
      <c r="G1498" s="301"/>
      <c r="H1498" s="296" t="s">
        <v>1602</v>
      </c>
      <c r="I1498" s="309">
        <v>1</v>
      </c>
      <c r="J1498" s="299">
        <v>0.59</v>
      </c>
      <c r="K1498" s="300" t="s">
        <v>3893</v>
      </c>
      <c r="L1498" s="301" t="s">
        <v>2381</v>
      </c>
    </row>
    <row r="1499" spans="1:12" ht="15">
      <c r="A1499" s="102"/>
      <c r="D1499" s="333"/>
      <c r="F1499" s="96"/>
      <c r="H1499" s="96"/>
      <c r="I1499" s="397"/>
      <c r="J1499" s="96"/>
      <c r="K1499" s="96"/>
      <c r="L1499" s="333"/>
    </row>
    <row r="1500" spans="1:12">
      <c r="A1500" s="290"/>
      <c r="B1500" s="291" t="s">
        <v>9</v>
      </c>
      <c r="C1500" s="292" t="s">
        <v>117</v>
      </c>
      <c r="D1500" s="292"/>
      <c r="E1500" s="408"/>
      <c r="F1500" s="293"/>
      <c r="G1500" s="291"/>
      <c r="H1500" s="292"/>
      <c r="I1500" s="428">
        <v>1</v>
      </c>
      <c r="J1500" s="294"/>
      <c r="K1500" s="295"/>
      <c r="L1500" s="335" t="s">
        <v>1955</v>
      </c>
    </row>
    <row r="1501" spans="1:12" ht="28.5">
      <c r="A1501" s="290"/>
      <c r="B1501" s="291"/>
      <c r="C1501" s="296"/>
      <c r="D1501" s="307" t="s">
        <v>2030</v>
      </c>
      <c r="E1501" s="303" t="s">
        <v>1302</v>
      </c>
      <c r="F1501" s="297"/>
      <c r="G1501" s="298"/>
      <c r="H1501" s="296"/>
      <c r="I1501" s="309">
        <v>1</v>
      </c>
      <c r="J1501" s="299"/>
      <c r="K1501" s="300"/>
      <c r="L1501" s="301" t="s">
        <v>1956</v>
      </c>
    </row>
    <row r="1502" spans="1:12">
      <c r="A1502" s="290"/>
      <c r="B1502" s="291"/>
      <c r="C1502" s="296"/>
      <c r="D1502" s="307"/>
      <c r="E1502" s="303"/>
      <c r="F1502" s="297" t="s">
        <v>1305</v>
      </c>
      <c r="G1502" s="298" t="s">
        <v>1007</v>
      </c>
      <c r="H1502" s="296" t="s">
        <v>1362</v>
      </c>
      <c r="I1502" s="309">
        <v>1</v>
      </c>
      <c r="J1502" s="299">
        <v>8.36</v>
      </c>
      <c r="K1502" s="300" t="s">
        <v>3894</v>
      </c>
      <c r="L1502" s="301" t="s">
        <v>1957</v>
      </c>
    </row>
    <row r="1503" spans="1:12">
      <c r="A1503" s="290"/>
      <c r="B1503" s="291"/>
      <c r="C1503" s="296"/>
      <c r="D1503" s="307"/>
      <c r="E1503" s="303"/>
      <c r="F1503" s="297" t="s">
        <v>1317</v>
      </c>
      <c r="G1503" s="298" t="s">
        <v>1157</v>
      </c>
      <c r="H1503" s="296" t="s">
        <v>1369</v>
      </c>
      <c r="I1503" s="309">
        <v>1</v>
      </c>
      <c r="J1503" s="299">
        <v>45.3</v>
      </c>
      <c r="K1503" s="300" t="s">
        <v>3895</v>
      </c>
      <c r="L1503" s="301" t="s">
        <v>1958</v>
      </c>
    </row>
    <row r="1504" spans="1:12">
      <c r="A1504" s="290"/>
      <c r="B1504" s="291"/>
      <c r="C1504" s="296"/>
      <c r="D1504" s="307"/>
      <c r="E1504" s="303"/>
      <c r="F1504" s="297" t="s">
        <v>1317</v>
      </c>
      <c r="G1504" s="298" t="s">
        <v>1539</v>
      </c>
      <c r="H1504" s="296" t="s">
        <v>1981</v>
      </c>
      <c r="I1504" s="309">
        <v>1</v>
      </c>
      <c r="J1504" s="299">
        <v>5.61</v>
      </c>
      <c r="K1504" s="300" t="s">
        <v>3864</v>
      </c>
      <c r="L1504" s="301" t="s">
        <v>1959</v>
      </c>
    </row>
    <row r="1505" spans="1:12">
      <c r="A1505" s="290"/>
      <c r="B1505" s="291"/>
      <c r="C1505" s="296"/>
      <c r="D1505" s="307"/>
      <c r="E1505" s="303"/>
      <c r="F1505" s="297" t="s">
        <v>1317</v>
      </c>
      <c r="G1505" s="298" t="s">
        <v>1544</v>
      </c>
      <c r="H1505" s="296" t="s">
        <v>1557</v>
      </c>
      <c r="I1505" s="309">
        <v>2</v>
      </c>
      <c r="J1505" s="299">
        <v>0.06</v>
      </c>
      <c r="K1505" s="300"/>
      <c r="L1505" s="301" t="s">
        <v>1960</v>
      </c>
    </row>
    <row r="1506" spans="1:12">
      <c r="A1506" s="290"/>
      <c r="B1506" s="291"/>
      <c r="C1506" s="296"/>
      <c r="D1506" s="307"/>
      <c r="E1506" s="303"/>
      <c r="F1506" s="297" t="s">
        <v>1317</v>
      </c>
      <c r="G1506" s="298" t="s">
        <v>1572</v>
      </c>
      <c r="H1506" s="296" t="s">
        <v>1571</v>
      </c>
      <c r="I1506" s="309">
        <v>1</v>
      </c>
      <c r="J1506" s="299">
        <v>0.17</v>
      </c>
      <c r="K1506" s="300"/>
      <c r="L1506" s="301" t="s">
        <v>1961</v>
      </c>
    </row>
    <row r="1507" spans="1:12">
      <c r="A1507" s="290"/>
      <c r="B1507" s="291"/>
      <c r="C1507" s="296"/>
      <c r="D1507" s="307"/>
      <c r="E1507" s="303"/>
      <c r="F1507" s="297" t="s">
        <v>1317</v>
      </c>
      <c r="G1507" s="298" t="s">
        <v>1199</v>
      </c>
      <c r="H1507" s="296" t="s">
        <v>2382</v>
      </c>
      <c r="I1507" s="309">
        <v>1</v>
      </c>
      <c r="J1507" s="299">
        <v>0.37</v>
      </c>
      <c r="K1507" s="300"/>
      <c r="L1507" s="301" t="s">
        <v>2383</v>
      </c>
    </row>
    <row r="1508" spans="1:12" ht="15">
      <c r="A1508" s="102"/>
      <c r="B1508" s="291"/>
      <c r="C1508" s="296"/>
      <c r="D1508" s="307" t="s">
        <v>1963</v>
      </c>
      <c r="E1508" s="303" t="s">
        <v>1302</v>
      </c>
      <c r="F1508" s="297"/>
      <c r="G1508" s="298"/>
      <c r="H1508" s="296" t="s">
        <v>1549</v>
      </c>
      <c r="I1508" s="309">
        <v>1</v>
      </c>
      <c r="J1508" s="299"/>
      <c r="K1508" s="300"/>
      <c r="L1508" s="301" t="s">
        <v>1962</v>
      </c>
    </row>
    <row r="1509" spans="1:12" ht="15">
      <c r="A1509" s="102"/>
      <c r="B1509" s="291"/>
      <c r="C1509" s="296"/>
      <c r="D1509" s="307"/>
      <c r="E1509" s="303"/>
      <c r="F1509" s="297" t="s">
        <v>1305</v>
      </c>
      <c r="G1509" s="298" t="s">
        <v>999</v>
      </c>
      <c r="H1509" s="296" t="s">
        <v>1553</v>
      </c>
      <c r="I1509" s="309">
        <v>1</v>
      </c>
      <c r="J1509" s="299">
        <v>11.78</v>
      </c>
      <c r="K1509" s="300" t="s">
        <v>3896</v>
      </c>
      <c r="L1509" s="301" t="s">
        <v>1964</v>
      </c>
    </row>
    <row r="1510" spans="1:12" ht="15">
      <c r="A1510" s="102"/>
      <c r="B1510" s="291"/>
      <c r="C1510" s="296"/>
      <c r="D1510" s="307"/>
      <c r="E1510" s="303"/>
      <c r="F1510" s="297" t="s">
        <v>1317</v>
      </c>
      <c r="G1510" s="298" t="s">
        <v>1180</v>
      </c>
      <c r="H1510" s="296"/>
      <c r="I1510" s="309">
        <v>1</v>
      </c>
      <c r="J1510" s="299">
        <v>0.93</v>
      </c>
      <c r="K1510" s="300"/>
      <c r="L1510" s="301" t="s">
        <v>1965</v>
      </c>
    </row>
    <row r="1511" spans="1:12" ht="15">
      <c r="A1511" s="102"/>
      <c r="B1511" s="291"/>
      <c r="C1511" s="296"/>
      <c r="D1511" s="307"/>
      <c r="E1511" s="303"/>
      <c r="F1511" s="297" t="s">
        <v>1317</v>
      </c>
      <c r="G1511" s="298" t="s">
        <v>1211</v>
      </c>
      <c r="H1511" s="296" t="s">
        <v>1543</v>
      </c>
      <c r="I1511" s="309">
        <v>2</v>
      </c>
      <c r="J1511" s="299">
        <v>0.04</v>
      </c>
      <c r="K1511" s="300" t="s">
        <v>3864</v>
      </c>
      <c r="L1511" s="301" t="s">
        <v>1966</v>
      </c>
    </row>
    <row r="1512" spans="1:12" ht="15">
      <c r="A1512" s="102"/>
      <c r="B1512" s="291"/>
      <c r="C1512" s="296"/>
      <c r="D1512" s="307"/>
      <c r="E1512" s="303"/>
      <c r="F1512" s="297" t="s">
        <v>1317</v>
      </c>
      <c r="G1512" s="298" t="s">
        <v>1544</v>
      </c>
      <c r="H1512" s="296" t="s">
        <v>1557</v>
      </c>
      <c r="I1512" s="309">
        <v>1</v>
      </c>
      <c r="J1512" s="299">
        <v>0.06</v>
      </c>
      <c r="K1512" s="300"/>
      <c r="L1512" s="301" t="s">
        <v>1967</v>
      </c>
    </row>
    <row r="1513" spans="1:12" ht="15">
      <c r="A1513" s="102"/>
      <c r="B1513" s="291"/>
      <c r="C1513" s="296"/>
      <c r="D1513" s="307"/>
      <c r="E1513" s="303"/>
      <c r="F1513" s="297" t="s">
        <v>1317</v>
      </c>
      <c r="G1513" s="298" t="s">
        <v>1572</v>
      </c>
      <c r="H1513" s="296" t="s">
        <v>1571</v>
      </c>
      <c r="I1513" s="309">
        <v>1</v>
      </c>
      <c r="J1513" s="299">
        <v>0.11</v>
      </c>
      <c r="K1513" s="300"/>
      <c r="L1513" s="301" t="s">
        <v>1968</v>
      </c>
    </row>
    <row r="1514" spans="1:12" ht="15">
      <c r="A1514" s="102"/>
      <c r="B1514" s="291"/>
      <c r="C1514" s="296"/>
      <c r="D1514" s="307"/>
      <c r="E1514" s="303"/>
      <c r="F1514" s="297" t="s">
        <v>1317</v>
      </c>
      <c r="G1514" s="298" t="s">
        <v>1199</v>
      </c>
      <c r="H1514" s="296" t="s">
        <v>2384</v>
      </c>
      <c r="I1514" s="309">
        <v>2</v>
      </c>
      <c r="J1514" s="299">
        <v>0.37</v>
      </c>
      <c r="K1514" s="300"/>
      <c r="L1514" s="301" t="s">
        <v>2385</v>
      </c>
    </row>
    <row r="1515" spans="1:12" ht="15">
      <c r="A1515" s="102"/>
      <c r="B1515" s="291"/>
      <c r="C1515" s="296"/>
      <c r="D1515" s="307" t="s">
        <v>1969</v>
      </c>
      <c r="E1515" s="303" t="s">
        <v>1302</v>
      </c>
      <c r="F1515" s="297"/>
      <c r="G1515" s="298"/>
      <c r="H1515" s="296" t="s">
        <v>1550</v>
      </c>
      <c r="I1515" s="309">
        <v>1</v>
      </c>
      <c r="J1515" s="299"/>
      <c r="K1515" s="300"/>
      <c r="L1515" s="301" t="s">
        <v>1970</v>
      </c>
    </row>
    <row r="1516" spans="1:12" ht="15">
      <c r="A1516" s="102"/>
      <c r="B1516" s="291"/>
      <c r="C1516" s="296"/>
      <c r="D1516" s="307"/>
      <c r="E1516" s="303"/>
      <c r="F1516" s="297" t="s">
        <v>1305</v>
      </c>
      <c r="G1516" s="298" t="s">
        <v>999</v>
      </c>
      <c r="H1516" s="296" t="s">
        <v>1553</v>
      </c>
      <c r="I1516" s="309">
        <v>8</v>
      </c>
      <c r="J1516" s="299">
        <v>11.2</v>
      </c>
      <c r="K1516" s="300" t="s">
        <v>3897</v>
      </c>
      <c r="L1516" s="301" t="s">
        <v>1971</v>
      </c>
    </row>
    <row r="1517" spans="1:12" ht="15">
      <c r="A1517" s="102"/>
      <c r="B1517" s="291"/>
      <c r="C1517" s="296"/>
      <c r="D1517" s="307"/>
      <c r="E1517" s="303"/>
      <c r="F1517" s="297" t="s">
        <v>1317</v>
      </c>
      <c r="G1517" s="298" t="s">
        <v>1180</v>
      </c>
      <c r="H1517" s="296" t="s">
        <v>1542</v>
      </c>
      <c r="I1517" s="309">
        <v>1</v>
      </c>
      <c r="J1517" s="299">
        <v>0.93</v>
      </c>
      <c r="K1517" s="300"/>
      <c r="L1517" s="301" t="s">
        <v>1972</v>
      </c>
    </row>
    <row r="1518" spans="1:12" ht="15">
      <c r="A1518" s="102"/>
      <c r="B1518" s="291"/>
      <c r="C1518" s="296"/>
      <c r="D1518" s="307"/>
      <c r="E1518" s="303"/>
      <c r="F1518" s="297" t="s">
        <v>1317</v>
      </c>
      <c r="G1518" s="298" t="s">
        <v>1211</v>
      </c>
      <c r="H1518" s="296" t="s">
        <v>1543</v>
      </c>
      <c r="I1518" s="309">
        <v>2</v>
      </c>
      <c r="J1518" s="299">
        <v>0.04</v>
      </c>
      <c r="K1518" s="300"/>
      <c r="L1518" s="301" t="s">
        <v>1973</v>
      </c>
    </row>
    <row r="1519" spans="1:12" ht="15">
      <c r="A1519" s="102"/>
      <c r="B1519" s="291"/>
      <c r="C1519" s="296"/>
      <c r="D1519" s="307"/>
      <c r="E1519" s="303"/>
      <c r="F1519" s="297" t="s">
        <v>1317</v>
      </c>
      <c r="G1519" s="298" t="s">
        <v>1544</v>
      </c>
      <c r="H1519" s="296" t="s">
        <v>1557</v>
      </c>
      <c r="I1519" s="309">
        <v>1</v>
      </c>
      <c r="J1519" s="299">
        <v>0.06</v>
      </c>
      <c r="K1519" s="300"/>
      <c r="L1519" s="301" t="s">
        <v>1974</v>
      </c>
    </row>
    <row r="1520" spans="1:12" ht="15">
      <c r="A1520" s="102"/>
      <c r="B1520" s="291"/>
      <c r="C1520" s="296"/>
      <c r="D1520" s="307"/>
      <c r="E1520" s="303"/>
      <c r="F1520" s="297" t="s">
        <v>1317</v>
      </c>
      <c r="G1520" s="298" t="s">
        <v>1572</v>
      </c>
      <c r="H1520" s="296" t="s">
        <v>1571</v>
      </c>
      <c r="I1520" s="309">
        <v>1</v>
      </c>
      <c r="J1520" s="299">
        <v>0.11</v>
      </c>
      <c r="K1520" s="300"/>
      <c r="L1520" s="301" t="s">
        <v>1975</v>
      </c>
    </row>
    <row r="1521" spans="1:12" ht="15">
      <c r="A1521" s="102"/>
      <c r="B1521" s="291"/>
      <c r="C1521" s="296"/>
      <c r="D1521" s="307"/>
      <c r="E1521" s="303"/>
      <c r="F1521" s="297" t="s">
        <v>1317</v>
      </c>
      <c r="G1521" s="298" t="s">
        <v>1199</v>
      </c>
      <c r="H1521" s="296" t="s">
        <v>2384</v>
      </c>
      <c r="I1521" s="309">
        <v>2</v>
      </c>
      <c r="J1521" s="299">
        <v>0.37</v>
      </c>
      <c r="K1521" s="300"/>
      <c r="L1521" s="301" t="s">
        <v>2386</v>
      </c>
    </row>
    <row r="1522" spans="1:12" ht="15">
      <c r="A1522" s="102"/>
      <c r="B1522" s="291"/>
      <c r="C1522" s="296"/>
      <c r="D1522" s="307" t="s">
        <v>1976</v>
      </c>
      <c r="E1522" s="303" t="s">
        <v>1302</v>
      </c>
      <c r="F1522" s="297"/>
      <c r="G1522" s="298"/>
      <c r="H1522" s="296"/>
      <c r="I1522" s="309">
        <v>2</v>
      </c>
      <c r="J1522" s="299"/>
      <c r="K1522" s="300"/>
      <c r="L1522" s="301" t="s">
        <v>1977</v>
      </c>
    </row>
    <row r="1523" spans="1:12" ht="15">
      <c r="A1523" s="102"/>
      <c r="B1523" s="291"/>
      <c r="C1523" s="296"/>
      <c r="D1523" s="307"/>
      <c r="E1523" s="303"/>
      <c r="F1523" s="297" t="s">
        <v>1305</v>
      </c>
      <c r="G1523" s="298" t="s">
        <v>1007</v>
      </c>
      <c r="H1523" s="296" t="s">
        <v>1362</v>
      </c>
      <c r="I1523" s="309">
        <v>1</v>
      </c>
      <c r="J1523" s="299">
        <v>0.11</v>
      </c>
      <c r="K1523" s="300"/>
      <c r="L1523" s="301" t="s">
        <v>1978</v>
      </c>
    </row>
    <row r="1524" spans="1:12" ht="15">
      <c r="A1524" s="102"/>
      <c r="B1524" s="291"/>
      <c r="C1524" s="296"/>
      <c r="D1524" s="307"/>
      <c r="E1524" s="303"/>
      <c r="F1524" s="297" t="s">
        <v>1317</v>
      </c>
      <c r="G1524" s="298" t="s">
        <v>1157</v>
      </c>
      <c r="H1524" s="296" t="s">
        <v>1339</v>
      </c>
      <c r="I1524" s="309">
        <v>1</v>
      </c>
      <c r="J1524" s="299">
        <v>0.57999999999999996</v>
      </c>
      <c r="K1524" s="300"/>
      <c r="L1524" s="301" t="s">
        <v>1979</v>
      </c>
    </row>
    <row r="1525" spans="1:12" ht="15">
      <c r="A1525" s="102"/>
      <c r="B1525" s="291"/>
      <c r="C1525" s="296"/>
      <c r="D1525" s="307"/>
      <c r="E1525" s="303"/>
      <c r="F1525" s="297" t="s">
        <v>1317</v>
      </c>
      <c r="G1525" s="298" t="s">
        <v>1222</v>
      </c>
      <c r="H1525" s="296" t="s">
        <v>1565</v>
      </c>
      <c r="I1525" s="309">
        <v>1</v>
      </c>
      <c r="J1525" s="299">
        <v>0.56000000000000005</v>
      </c>
      <c r="K1525" s="300"/>
      <c r="L1525" s="301" t="s">
        <v>1980</v>
      </c>
    </row>
    <row r="1526" spans="1:12" ht="15">
      <c r="A1526" s="102"/>
      <c r="B1526" s="291"/>
      <c r="C1526" s="296"/>
      <c r="D1526" s="307"/>
      <c r="E1526" s="303"/>
      <c r="F1526" s="297" t="s">
        <v>1317</v>
      </c>
      <c r="G1526" s="298" t="s">
        <v>1539</v>
      </c>
      <c r="H1526" s="296" t="s">
        <v>1981</v>
      </c>
      <c r="I1526" s="309">
        <v>1</v>
      </c>
      <c r="J1526" s="299">
        <v>2.81</v>
      </c>
      <c r="K1526" s="300"/>
      <c r="L1526" s="301" t="s">
        <v>1982</v>
      </c>
    </row>
    <row r="1527" spans="1:12" ht="15">
      <c r="A1527" s="102"/>
      <c r="B1527" s="291"/>
      <c r="C1527" s="296"/>
      <c r="D1527" s="307"/>
      <c r="E1527" s="303"/>
      <c r="F1527" s="297" t="s">
        <v>1317</v>
      </c>
      <c r="G1527" s="298" t="s">
        <v>1572</v>
      </c>
      <c r="H1527" s="296" t="s">
        <v>1571</v>
      </c>
      <c r="I1527" s="309">
        <v>1</v>
      </c>
      <c r="J1527" s="299">
        <v>0.02</v>
      </c>
      <c r="K1527" s="300"/>
      <c r="L1527" s="301" t="s">
        <v>1983</v>
      </c>
    </row>
    <row r="1528" spans="1:12" ht="15">
      <c r="A1528" s="102"/>
      <c r="B1528" s="291"/>
      <c r="C1528" s="296"/>
      <c r="D1528" s="307"/>
      <c r="E1528" s="303"/>
      <c r="F1528" s="297" t="s">
        <v>1317</v>
      </c>
      <c r="G1528" s="298" t="s">
        <v>1199</v>
      </c>
      <c r="H1528" s="296" t="s">
        <v>2387</v>
      </c>
      <c r="I1528" s="309">
        <v>1</v>
      </c>
      <c r="J1528" s="299">
        <v>0.37</v>
      </c>
      <c r="K1528" s="300"/>
      <c r="L1528" s="301" t="s">
        <v>2388</v>
      </c>
    </row>
    <row r="1529" spans="1:12" ht="15">
      <c r="A1529" s="102"/>
      <c r="B1529" s="291"/>
      <c r="C1529" s="296"/>
      <c r="D1529" s="307"/>
      <c r="E1529" s="303"/>
      <c r="F1529" s="297" t="s">
        <v>1317</v>
      </c>
      <c r="G1529" s="298" t="s">
        <v>1199</v>
      </c>
      <c r="H1529" s="296" t="s">
        <v>2363</v>
      </c>
      <c r="I1529" s="309">
        <v>1</v>
      </c>
      <c r="J1529" s="299">
        <v>0.37</v>
      </c>
      <c r="K1529" s="300"/>
      <c r="L1529" s="301" t="s">
        <v>2389</v>
      </c>
    </row>
    <row r="1530" spans="1:12" ht="15">
      <c r="A1530" s="102"/>
      <c r="B1530" s="291"/>
      <c r="C1530" s="296"/>
      <c r="D1530" s="307"/>
      <c r="E1530" s="303"/>
      <c r="F1530" s="297" t="s">
        <v>1317</v>
      </c>
      <c r="G1530" s="298" t="s">
        <v>1223</v>
      </c>
      <c r="H1530" s="296" t="s">
        <v>1565</v>
      </c>
      <c r="I1530" s="309">
        <v>1</v>
      </c>
      <c r="J1530" s="299">
        <v>0.94</v>
      </c>
      <c r="K1530" s="300"/>
      <c r="L1530" s="301" t="s">
        <v>3898</v>
      </c>
    </row>
    <row r="1531" spans="1:12" ht="15">
      <c r="A1531" s="102"/>
      <c r="B1531" s="291"/>
      <c r="C1531" s="296"/>
      <c r="D1531" s="307" t="s">
        <v>1984</v>
      </c>
      <c r="E1531" s="303" t="s">
        <v>1302</v>
      </c>
      <c r="F1531" s="297"/>
      <c r="G1531" s="298"/>
      <c r="H1531" s="296"/>
      <c r="I1531" s="309">
        <v>1</v>
      </c>
      <c r="J1531" s="299"/>
      <c r="K1531" s="300"/>
      <c r="L1531" s="301" t="s">
        <v>1985</v>
      </c>
    </row>
    <row r="1532" spans="1:12" ht="15">
      <c r="A1532" s="102"/>
      <c r="B1532" s="291"/>
      <c r="C1532" s="296"/>
      <c r="D1532" s="307"/>
      <c r="E1532" s="303"/>
      <c r="F1532" s="297" t="s">
        <v>1317</v>
      </c>
      <c r="G1532" s="298" t="s">
        <v>1561</v>
      </c>
      <c r="H1532" s="296" t="s">
        <v>1569</v>
      </c>
      <c r="I1532" s="309">
        <v>4</v>
      </c>
      <c r="J1532" s="299">
        <v>0.09</v>
      </c>
      <c r="K1532" s="300"/>
      <c r="L1532" s="301" t="s">
        <v>1986</v>
      </c>
    </row>
    <row r="1533" spans="1:12" ht="15">
      <c r="A1533" s="102"/>
      <c r="B1533" s="291"/>
      <c r="C1533" s="296"/>
      <c r="D1533" s="307"/>
      <c r="E1533" s="303"/>
      <c r="F1533" s="297" t="s">
        <v>1317</v>
      </c>
      <c r="G1533" s="298" t="s">
        <v>1206</v>
      </c>
      <c r="H1533" s="296" t="s">
        <v>3939</v>
      </c>
      <c r="I1533" s="309">
        <v>1</v>
      </c>
      <c r="J1533" s="299">
        <v>11.68</v>
      </c>
      <c r="K1533" s="300" t="s">
        <v>3873</v>
      </c>
      <c r="L1533" s="301" t="s">
        <v>1988</v>
      </c>
    </row>
    <row r="1534" spans="1:12" ht="15">
      <c r="A1534" s="102"/>
      <c r="B1534" s="291"/>
      <c r="C1534" s="296"/>
      <c r="D1534" s="307"/>
      <c r="E1534" s="303"/>
      <c r="F1534" s="297" t="s">
        <v>1317</v>
      </c>
      <c r="G1534" s="298" t="s">
        <v>1199</v>
      </c>
      <c r="H1534" s="296" t="s">
        <v>3940</v>
      </c>
      <c r="I1534" s="309">
        <v>1</v>
      </c>
      <c r="J1534" s="299">
        <v>0.37</v>
      </c>
      <c r="K1534" s="300"/>
      <c r="L1534" s="301" t="s">
        <v>1989</v>
      </c>
    </row>
    <row r="1535" spans="1:12" ht="15">
      <c r="A1535" s="102"/>
      <c r="B1535" s="291"/>
      <c r="C1535" s="296"/>
      <c r="D1535" s="307"/>
      <c r="E1535" s="303"/>
      <c r="F1535" s="297" t="s">
        <v>1317</v>
      </c>
      <c r="G1535" s="298" t="s">
        <v>1199</v>
      </c>
      <c r="H1535" s="296" t="s">
        <v>3941</v>
      </c>
      <c r="I1535" s="309">
        <v>1</v>
      </c>
      <c r="J1535" s="299">
        <v>0.37</v>
      </c>
      <c r="K1535" s="300"/>
      <c r="L1535" s="301" t="s">
        <v>1990</v>
      </c>
    </row>
    <row r="1536" spans="1:12" ht="15">
      <c r="A1536" s="102"/>
      <c r="B1536" s="291"/>
      <c r="C1536" s="296"/>
      <c r="D1536" s="307"/>
      <c r="E1536" s="303"/>
      <c r="F1536" s="297" t="s">
        <v>1317</v>
      </c>
      <c r="G1536" s="298" t="s">
        <v>1199</v>
      </c>
      <c r="H1536" s="296" t="s">
        <v>3947</v>
      </c>
      <c r="I1536" s="309">
        <v>2</v>
      </c>
      <c r="J1536" s="299">
        <v>0.37</v>
      </c>
      <c r="K1536" s="300"/>
      <c r="L1536" s="301" t="s">
        <v>1991</v>
      </c>
    </row>
    <row r="1537" spans="1:12" ht="15">
      <c r="A1537" s="102"/>
      <c r="B1537" s="291"/>
      <c r="C1537" s="296"/>
      <c r="D1537" s="307"/>
      <c r="E1537" s="303"/>
      <c r="F1537" s="297" t="s">
        <v>1317</v>
      </c>
      <c r="G1537" s="298" t="s">
        <v>1633</v>
      </c>
      <c r="H1537" s="296" t="s">
        <v>1635</v>
      </c>
      <c r="I1537" s="309">
        <v>1</v>
      </c>
      <c r="J1537" s="299">
        <v>0</v>
      </c>
      <c r="K1537" s="300"/>
      <c r="L1537" s="301" t="s">
        <v>1992</v>
      </c>
    </row>
    <row r="1538" spans="1:12" ht="15">
      <c r="A1538" s="102"/>
      <c r="B1538" s="291"/>
      <c r="C1538" s="296"/>
      <c r="D1538" s="307"/>
      <c r="E1538" s="303"/>
      <c r="F1538" s="297" t="s">
        <v>1309</v>
      </c>
      <c r="G1538" s="298" t="s">
        <v>1228</v>
      </c>
      <c r="H1538" s="296" t="s">
        <v>2749</v>
      </c>
      <c r="I1538" s="309">
        <v>2</v>
      </c>
      <c r="J1538" s="299">
        <v>0.16</v>
      </c>
      <c r="K1538" s="300"/>
      <c r="L1538" s="301" t="s">
        <v>3037</v>
      </c>
    </row>
    <row r="1539" spans="1:12" ht="15">
      <c r="A1539" s="102"/>
      <c r="B1539" s="291"/>
      <c r="C1539" s="296"/>
      <c r="D1539" s="307"/>
      <c r="E1539" s="303"/>
      <c r="F1539" s="297" t="s">
        <v>1309</v>
      </c>
      <c r="G1539" s="298" t="s">
        <v>1230</v>
      </c>
      <c r="H1539" s="296" t="s">
        <v>1565</v>
      </c>
      <c r="I1539" s="309">
        <v>2</v>
      </c>
      <c r="J1539" s="299">
        <v>0.04</v>
      </c>
      <c r="K1539" s="300"/>
      <c r="L1539" s="301" t="s">
        <v>3038</v>
      </c>
    </row>
    <row r="1540" spans="1:12" ht="15">
      <c r="A1540" s="102"/>
      <c r="B1540" s="291"/>
      <c r="C1540" s="296"/>
      <c r="D1540" s="307"/>
      <c r="E1540" s="303"/>
      <c r="F1540" s="297" t="s">
        <v>1317</v>
      </c>
      <c r="G1540" s="298" t="s">
        <v>1210</v>
      </c>
      <c r="H1540" s="296"/>
      <c r="I1540" s="309">
        <v>4</v>
      </c>
      <c r="J1540" s="299">
        <v>0.03</v>
      </c>
      <c r="K1540" s="300"/>
      <c r="L1540" s="301" t="s">
        <v>3039</v>
      </c>
    </row>
    <row r="1541" spans="1:12" ht="29.25">
      <c r="A1541" s="102"/>
      <c r="B1541" s="291"/>
      <c r="C1541" s="296"/>
      <c r="D1541" s="307"/>
      <c r="E1541" s="303"/>
      <c r="F1541" s="297" t="s">
        <v>1317</v>
      </c>
      <c r="G1541" s="298" t="s">
        <v>1199</v>
      </c>
      <c r="H1541" s="307" t="s">
        <v>3044</v>
      </c>
      <c r="I1541" s="309">
        <v>1</v>
      </c>
      <c r="J1541" s="299">
        <v>0.37</v>
      </c>
      <c r="K1541" s="300"/>
      <c r="L1541" s="301" t="s">
        <v>3043</v>
      </c>
    </row>
    <row r="1542" spans="1:12" ht="15">
      <c r="A1542" s="102"/>
      <c r="B1542" s="291"/>
      <c r="C1542" s="296"/>
      <c r="D1542" s="307" t="s">
        <v>1994</v>
      </c>
      <c r="E1542" s="303" t="s">
        <v>1311</v>
      </c>
      <c r="F1542" s="297"/>
      <c r="G1542" s="298"/>
      <c r="H1542" s="296" t="s">
        <v>1645</v>
      </c>
      <c r="I1542" s="309">
        <v>8</v>
      </c>
      <c r="J1542" s="299">
        <v>1.87</v>
      </c>
      <c r="K1542" s="300"/>
      <c r="L1542" s="301" t="s">
        <v>1993</v>
      </c>
    </row>
    <row r="1543" spans="1:12" ht="15">
      <c r="A1543" s="102"/>
      <c r="B1543" s="291"/>
      <c r="C1543" s="296"/>
      <c r="D1543" s="307" t="s">
        <v>1232</v>
      </c>
      <c r="E1543" s="303" t="s">
        <v>1311</v>
      </c>
      <c r="F1543" s="297"/>
      <c r="G1543" s="298"/>
      <c r="H1543" s="296" t="s">
        <v>1648</v>
      </c>
      <c r="I1543" s="309">
        <v>8</v>
      </c>
      <c r="J1543" s="299">
        <v>0.11</v>
      </c>
      <c r="K1543" s="300"/>
      <c r="L1543" s="301" t="s">
        <v>1995</v>
      </c>
    </row>
    <row r="1544" spans="1:12" ht="15">
      <c r="A1544" s="102"/>
      <c r="B1544" s="291"/>
      <c r="C1544" s="296"/>
      <c r="D1544" s="307" t="s">
        <v>1996</v>
      </c>
      <c r="E1544" s="303" t="s">
        <v>1302</v>
      </c>
      <c r="F1544" s="297"/>
      <c r="G1544" s="298"/>
      <c r="H1544" s="296"/>
      <c r="I1544" s="309">
        <v>1</v>
      </c>
      <c r="J1544" s="299"/>
      <c r="K1544" s="300"/>
      <c r="L1544" s="301" t="s">
        <v>1997</v>
      </c>
    </row>
    <row r="1545" spans="1:12" ht="15">
      <c r="A1545" s="102"/>
      <c r="B1545" s="291"/>
      <c r="C1545" s="296"/>
      <c r="D1545" s="307"/>
      <c r="E1545" s="303"/>
      <c r="F1545" s="297" t="s">
        <v>1305</v>
      </c>
      <c r="G1545" s="298" t="s">
        <v>1007</v>
      </c>
      <c r="H1545" s="296" t="s">
        <v>1362</v>
      </c>
      <c r="I1545" s="309">
        <v>1</v>
      </c>
      <c r="J1545" s="299">
        <v>2.08</v>
      </c>
      <c r="K1545" s="300" t="s">
        <v>3899</v>
      </c>
      <c r="L1545" s="301" t="s">
        <v>1998</v>
      </c>
    </row>
    <row r="1546" spans="1:12" ht="15">
      <c r="A1546" s="102"/>
      <c r="B1546" s="291"/>
      <c r="C1546" s="296"/>
      <c r="D1546" s="307"/>
      <c r="E1546" s="303"/>
      <c r="F1546" s="297" t="s">
        <v>1317</v>
      </c>
      <c r="G1546" s="298" t="s">
        <v>1157</v>
      </c>
      <c r="H1546" s="296" t="s">
        <v>1369</v>
      </c>
      <c r="I1546" s="309">
        <v>1</v>
      </c>
      <c r="J1546" s="299">
        <v>14.95</v>
      </c>
      <c r="K1546" s="300" t="s">
        <v>3900</v>
      </c>
      <c r="L1546" s="301" t="s">
        <v>1999</v>
      </c>
    </row>
    <row r="1547" spans="1:12" ht="15">
      <c r="A1547" s="102"/>
      <c r="B1547" s="291"/>
      <c r="C1547" s="296"/>
      <c r="D1547" s="307"/>
      <c r="E1547" s="303"/>
      <c r="F1547" s="297" t="s">
        <v>1317</v>
      </c>
      <c r="G1547" s="298" t="s">
        <v>1539</v>
      </c>
      <c r="H1547" s="296" t="s">
        <v>1981</v>
      </c>
      <c r="I1547" s="309">
        <v>1</v>
      </c>
      <c r="J1547" s="299">
        <v>5.61</v>
      </c>
      <c r="K1547" s="300" t="s">
        <v>3864</v>
      </c>
      <c r="L1547" s="301" t="s">
        <v>2000</v>
      </c>
    </row>
    <row r="1548" spans="1:12" ht="15">
      <c r="A1548" s="102"/>
      <c r="B1548" s="291"/>
      <c r="C1548" s="296"/>
      <c r="D1548" s="307"/>
      <c r="E1548" s="303"/>
      <c r="F1548" s="297" t="s">
        <v>1317</v>
      </c>
      <c r="G1548" s="298" t="s">
        <v>1544</v>
      </c>
      <c r="H1548" s="296" t="s">
        <v>1557</v>
      </c>
      <c r="I1548" s="309">
        <v>2</v>
      </c>
      <c r="J1548" s="299">
        <v>0.06</v>
      </c>
      <c r="K1548" s="300"/>
      <c r="L1548" s="301" t="s">
        <v>2001</v>
      </c>
    </row>
    <row r="1549" spans="1:12" ht="15">
      <c r="A1549" s="102"/>
      <c r="B1549" s="291"/>
      <c r="C1549" s="296"/>
      <c r="D1549" s="307"/>
      <c r="E1549" s="303"/>
      <c r="F1549" s="297" t="s">
        <v>1317</v>
      </c>
      <c r="G1549" s="298" t="s">
        <v>1572</v>
      </c>
      <c r="H1549" s="296" t="s">
        <v>1571</v>
      </c>
      <c r="I1549" s="309">
        <v>1</v>
      </c>
      <c r="J1549" s="299">
        <v>0.17</v>
      </c>
      <c r="K1549" s="300"/>
      <c r="L1549" s="301" t="s">
        <v>2002</v>
      </c>
    </row>
    <row r="1550" spans="1:12" ht="15">
      <c r="A1550" s="102"/>
      <c r="B1550" s="291"/>
      <c r="C1550" s="296"/>
      <c r="D1550" s="307"/>
      <c r="E1550" s="303"/>
      <c r="F1550" s="297" t="s">
        <v>1317</v>
      </c>
      <c r="G1550" s="298" t="s">
        <v>1199</v>
      </c>
      <c r="H1550" s="296" t="s">
        <v>2390</v>
      </c>
      <c r="I1550" s="309">
        <v>1</v>
      </c>
      <c r="J1550" s="299">
        <v>0.37</v>
      </c>
      <c r="K1550" s="300"/>
      <c r="L1550" s="301" t="s">
        <v>2391</v>
      </c>
    </row>
    <row r="1551" spans="1:12" ht="15">
      <c r="A1551" s="102"/>
      <c r="B1551" s="291"/>
      <c r="C1551" s="296"/>
      <c r="D1551" s="307" t="s">
        <v>1893</v>
      </c>
      <c r="E1551" s="303" t="s">
        <v>1302</v>
      </c>
      <c r="F1551" s="297"/>
      <c r="G1551" s="298"/>
      <c r="H1551" s="296" t="s">
        <v>1549</v>
      </c>
      <c r="I1551" s="309">
        <v>1</v>
      </c>
      <c r="J1551" s="299"/>
      <c r="K1551" s="300"/>
      <c r="L1551" s="301" t="s">
        <v>2003</v>
      </c>
    </row>
    <row r="1552" spans="1:12" ht="15">
      <c r="A1552" s="102"/>
      <c r="B1552" s="291"/>
      <c r="C1552" s="296"/>
      <c r="D1552" s="307"/>
      <c r="E1552" s="303"/>
      <c r="F1552" s="297" t="s">
        <v>1305</v>
      </c>
      <c r="G1552" s="298" t="s">
        <v>999</v>
      </c>
      <c r="H1552" s="296" t="s">
        <v>1552</v>
      </c>
      <c r="I1552" s="309">
        <v>1</v>
      </c>
      <c r="J1552" s="299">
        <v>5.23</v>
      </c>
      <c r="K1552" s="300" t="s">
        <v>3896</v>
      </c>
      <c r="L1552" s="301" t="s">
        <v>2004</v>
      </c>
    </row>
    <row r="1553" spans="1:12" ht="15">
      <c r="A1553" s="102"/>
      <c r="B1553" s="291"/>
      <c r="C1553" s="296"/>
      <c r="D1553" s="307"/>
      <c r="E1553" s="303"/>
      <c r="F1553" s="297" t="s">
        <v>1317</v>
      </c>
      <c r="G1553" s="298" t="s">
        <v>1180</v>
      </c>
      <c r="H1553" s="296" t="s">
        <v>1542</v>
      </c>
      <c r="I1553" s="309">
        <v>1</v>
      </c>
      <c r="J1553" s="299">
        <v>0.93</v>
      </c>
      <c r="K1553" s="300"/>
      <c r="L1553" s="301" t="s">
        <v>2005</v>
      </c>
    </row>
    <row r="1554" spans="1:12" ht="15">
      <c r="A1554" s="102"/>
      <c r="B1554" s="291"/>
      <c r="C1554" s="296"/>
      <c r="D1554" s="307"/>
      <c r="E1554" s="303"/>
      <c r="F1554" s="297" t="s">
        <v>1317</v>
      </c>
      <c r="G1554" s="298" t="s">
        <v>1211</v>
      </c>
      <c r="H1554" s="296" t="s">
        <v>1543</v>
      </c>
      <c r="I1554" s="309">
        <v>2</v>
      </c>
      <c r="J1554" s="299">
        <v>0.04</v>
      </c>
      <c r="K1554" s="300"/>
      <c r="L1554" s="301" t="s">
        <v>2006</v>
      </c>
    </row>
    <row r="1555" spans="1:12" ht="15">
      <c r="A1555" s="102"/>
      <c r="B1555" s="291"/>
      <c r="C1555" s="296"/>
      <c r="D1555" s="307"/>
      <c r="E1555" s="303"/>
      <c r="F1555" s="297" t="s">
        <v>1317</v>
      </c>
      <c r="G1555" s="298" t="s">
        <v>1544</v>
      </c>
      <c r="H1555" s="296" t="s">
        <v>1557</v>
      </c>
      <c r="I1555" s="309">
        <v>1</v>
      </c>
      <c r="J1555" s="299">
        <v>0.06</v>
      </c>
      <c r="K1555" s="300"/>
      <c r="L1555" s="301" t="s">
        <v>2007</v>
      </c>
    </row>
    <row r="1556" spans="1:12" ht="15">
      <c r="A1556" s="102"/>
      <c r="B1556" s="291"/>
      <c r="C1556" s="296"/>
      <c r="D1556" s="307"/>
      <c r="E1556" s="303"/>
      <c r="F1556" s="297" t="s">
        <v>1317</v>
      </c>
      <c r="G1556" s="298" t="s">
        <v>1572</v>
      </c>
      <c r="H1556" s="296" t="s">
        <v>1571</v>
      </c>
      <c r="I1556" s="309">
        <v>1</v>
      </c>
      <c r="J1556" s="299">
        <v>0.11</v>
      </c>
      <c r="K1556" s="300"/>
      <c r="L1556" s="301" t="s">
        <v>2008</v>
      </c>
    </row>
    <row r="1557" spans="1:12" ht="15">
      <c r="A1557" s="102"/>
      <c r="B1557" s="291"/>
      <c r="C1557" s="296"/>
      <c r="D1557" s="307"/>
      <c r="E1557" s="303"/>
      <c r="F1557" s="297" t="s">
        <v>1317</v>
      </c>
      <c r="G1557" s="298" t="s">
        <v>1199</v>
      </c>
      <c r="H1557" s="296" t="s">
        <v>2392</v>
      </c>
      <c r="I1557" s="309">
        <v>1</v>
      </c>
      <c r="J1557" s="299">
        <v>0.37</v>
      </c>
      <c r="K1557" s="300"/>
      <c r="L1557" s="301" t="s">
        <v>2393</v>
      </c>
    </row>
    <row r="1558" spans="1:12" ht="15">
      <c r="A1558" s="102"/>
      <c r="B1558" s="291"/>
      <c r="C1558" s="296"/>
      <c r="D1558" s="307" t="s">
        <v>1899</v>
      </c>
      <c r="E1558" s="303" t="s">
        <v>1302</v>
      </c>
      <c r="F1558" s="297"/>
      <c r="G1558" s="298"/>
      <c r="H1558" s="296" t="s">
        <v>1550</v>
      </c>
      <c r="I1558" s="309">
        <v>1</v>
      </c>
      <c r="J1558" s="299"/>
      <c r="K1558" s="300"/>
      <c r="L1558" s="301" t="s">
        <v>2009</v>
      </c>
    </row>
    <row r="1559" spans="1:12" ht="15">
      <c r="A1559" s="102"/>
      <c r="B1559" s="291"/>
      <c r="C1559" s="296"/>
      <c r="D1559" s="307"/>
      <c r="E1559" s="303"/>
      <c r="F1559" s="297" t="s">
        <v>1305</v>
      </c>
      <c r="G1559" s="298" t="s">
        <v>999</v>
      </c>
      <c r="H1559" s="296" t="s">
        <v>1553</v>
      </c>
      <c r="I1559" s="309">
        <v>1</v>
      </c>
      <c r="J1559" s="299">
        <v>4.9800000000000004</v>
      </c>
      <c r="K1559" s="300" t="s">
        <v>3897</v>
      </c>
      <c r="L1559" s="301" t="s">
        <v>2010</v>
      </c>
    </row>
    <row r="1560" spans="1:12" ht="15">
      <c r="A1560" s="102"/>
      <c r="B1560" s="291"/>
      <c r="C1560" s="296"/>
      <c r="D1560" s="307"/>
      <c r="E1560" s="303"/>
      <c r="F1560" s="297" t="s">
        <v>1317</v>
      </c>
      <c r="G1560" s="298" t="s">
        <v>1180</v>
      </c>
      <c r="H1560" s="296" t="s">
        <v>1542</v>
      </c>
      <c r="I1560" s="309">
        <v>1</v>
      </c>
      <c r="J1560" s="299">
        <v>0.93</v>
      </c>
      <c r="K1560" s="300"/>
      <c r="L1560" s="301" t="s">
        <v>2011</v>
      </c>
    </row>
    <row r="1561" spans="1:12" ht="15">
      <c r="A1561" s="102"/>
      <c r="B1561" s="291"/>
      <c r="C1561" s="296"/>
      <c r="D1561" s="307"/>
      <c r="E1561" s="303"/>
      <c r="F1561" s="297" t="s">
        <v>1317</v>
      </c>
      <c r="G1561" s="298" t="s">
        <v>1211</v>
      </c>
      <c r="H1561" s="296" t="s">
        <v>1543</v>
      </c>
      <c r="I1561" s="309">
        <v>2</v>
      </c>
      <c r="J1561" s="299">
        <v>0.04</v>
      </c>
      <c r="K1561" s="300"/>
      <c r="L1561" s="301" t="s">
        <v>2012</v>
      </c>
    </row>
    <row r="1562" spans="1:12" ht="15">
      <c r="A1562" s="102"/>
      <c r="B1562" s="291"/>
      <c r="C1562" s="296"/>
      <c r="D1562" s="307"/>
      <c r="E1562" s="303"/>
      <c r="F1562" s="297" t="s">
        <v>1317</v>
      </c>
      <c r="G1562" s="298" t="s">
        <v>1544</v>
      </c>
      <c r="H1562" s="296" t="s">
        <v>1557</v>
      </c>
      <c r="I1562" s="309">
        <v>1</v>
      </c>
      <c r="J1562" s="299">
        <v>0.06</v>
      </c>
      <c r="K1562" s="300"/>
      <c r="L1562" s="301" t="s">
        <v>2013</v>
      </c>
    </row>
    <row r="1563" spans="1:12" ht="15">
      <c r="A1563" s="102"/>
      <c r="B1563" s="291"/>
      <c r="C1563" s="296"/>
      <c r="D1563" s="307"/>
      <c r="E1563" s="303"/>
      <c r="F1563" s="297" t="s">
        <v>1317</v>
      </c>
      <c r="G1563" s="298" t="s">
        <v>1572</v>
      </c>
      <c r="H1563" s="296" t="s">
        <v>1571</v>
      </c>
      <c r="I1563" s="309">
        <v>1</v>
      </c>
      <c r="J1563" s="299">
        <v>0.11</v>
      </c>
      <c r="K1563" s="300"/>
      <c r="L1563" s="301" t="s">
        <v>2014</v>
      </c>
    </row>
    <row r="1564" spans="1:12" ht="15">
      <c r="A1564" s="102"/>
      <c r="B1564" s="291"/>
      <c r="C1564" s="296"/>
      <c r="D1564" s="307"/>
      <c r="E1564" s="303"/>
      <c r="F1564" s="297" t="s">
        <v>1317</v>
      </c>
      <c r="G1564" s="298" t="s">
        <v>1199</v>
      </c>
      <c r="H1564" s="296" t="s">
        <v>2392</v>
      </c>
      <c r="I1564" s="309">
        <v>1</v>
      </c>
      <c r="J1564" s="299">
        <v>0.37</v>
      </c>
      <c r="K1564" s="300"/>
      <c r="L1564" s="301" t="s">
        <v>2394</v>
      </c>
    </row>
    <row r="1565" spans="1:12" ht="15">
      <c r="A1565" s="102"/>
      <c r="B1565" s="291"/>
      <c r="C1565" s="296"/>
      <c r="D1565" s="307" t="s">
        <v>1906</v>
      </c>
      <c r="E1565" s="303" t="s">
        <v>1302</v>
      </c>
      <c r="F1565" s="297"/>
      <c r="G1565" s="298"/>
      <c r="H1565" s="296"/>
      <c r="I1565" s="309">
        <v>2</v>
      </c>
      <c r="J1565" s="299"/>
      <c r="K1565" s="300"/>
      <c r="L1565" s="301" t="s">
        <v>2015</v>
      </c>
    </row>
    <row r="1566" spans="1:12" ht="15">
      <c r="A1566" s="102"/>
      <c r="B1566" s="291"/>
      <c r="C1566" s="296"/>
      <c r="D1566" s="307"/>
      <c r="E1566" s="303"/>
      <c r="F1566" s="297" t="s">
        <v>1305</v>
      </c>
      <c r="G1566" s="298" t="s">
        <v>1007</v>
      </c>
      <c r="H1566" s="296" t="s">
        <v>1362</v>
      </c>
      <c r="I1566" s="309">
        <v>1</v>
      </c>
      <c r="J1566" s="299">
        <v>0.11</v>
      </c>
      <c r="K1566" s="300"/>
      <c r="L1566" s="301" t="s">
        <v>2016</v>
      </c>
    </row>
    <row r="1567" spans="1:12" ht="15">
      <c r="A1567" s="102"/>
      <c r="B1567" s="291"/>
      <c r="C1567" s="296"/>
      <c r="D1567" s="307"/>
      <c r="E1567" s="303"/>
      <c r="F1567" s="297" t="s">
        <v>1317</v>
      </c>
      <c r="G1567" s="298" t="s">
        <v>1157</v>
      </c>
      <c r="H1567" s="296" t="s">
        <v>1339</v>
      </c>
      <c r="I1567" s="309">
        <v>1</v>
      </c>
      <c r="J1567" s="299">
        <v>0.57999999999999996</v>
      </c>
      <c r="K1567" s="300"/>
      <c r="L1567" s="301" t="s">
        <v>2017</v>
      </c>
    </row>
    <row r="1568" spans="1:12" ht="15">
      <c r="A1568" s="102"/>
      <c r="B1568" s="291"/>
      <c r="C1568" s="296"/>
      <c r="D1568" s="307"/>
      <c r="E1568" s="303"/>
      <c r="F1568" s="297" t="s">
        <v>1317</v>
      </c>
      <c r="G1568" s="298" t="s">
        <v>1222</v>
      </c>
      <c r="H1568" s="296" t="s">
        <v>1565</v>
      </c>
      <c r="I1568" s="309">
        <v>1</v>
      </c>
      <c r="J1568" s="299">
        <v>0.56000000000000005</v>
      </c>
      <c r="K1568" s="300"/>
      <c r="L1568" s="301" t="s">
        <v>2018</v>
      </c>
    </row>
    <row r="1569" spans="1:12" ht="15">
      <c r="A1569" s="102"/>
      <c r="B1569" s="291"/>
      <c r="C1569" s="296"/>
      <c r="D1569" s="307"/>
      <c r="E1569" s="303"/>
      <c r="F1569" s="297" t="s">
        <v>1317</v>
      </c>
      <c r="G1569" s="298" t="s">
        <v>1539</v>
      </c>
      <c r="H1569" s="296" t="s">
        <v>1981</v>
      </c>
      <c r="I1569" s="309">
        <v>1</v>
      </c>
      <c r="J1569" s="299">
        <v>2.81</v>
      </c>
      <c r="K1569" s="300"/>
      <c r="L1569" s="301" t="s">
        <v>2019</v>
      </c>
    </row>
    <row r="1570" spans="1:12" ht="15">
      <c r="A1570" s="102"/>
      <c r="B1570" s="291"/>
      <c r="C1570" s="296"/>
      <c r="D1570" s="307"/>
      <c r="E1570" s="303"/>
      <c r="F1570" s="297" t="s">
        <v>1317</v>
      </c>
      <c r="G1570" s="298" t="s">
        <v>1572</v>
      </c>
      <c r="H1570" s="296" t="s">
        <v>1571</v>
      </c>
      <c r="I1570" s="309">
        <v>1</v>
      </c>
      <c r="J1570" s="299">
        <v>0.02</v>
      </c>
      <c r="K1570" s="300"/>
      <c r="L1570" s="301" t="s">
        <v>2020</v>
      </c>
    </row>
    <row r="1571" spans="1:12" ht="15">
      <c r="A1571" s="102"/>
      <c r="B1571" s="291"/>
      <c r="C1571" s="296"/>
      <c r="D1571" s="307"/>
      <c r="E1571" s="303"/>
      <c r="F1571" s="297" t="s">
        <v>1317</v>
      </c>
      <c r="G1571" s="298" t="s">
        <v>1199</v>
      </c>
      <c r="H1571" s="296" t="s">
        <v>2387</v>
      </c>
      <c r="I1571" s="309">
        <v>1</v>
      </c>
      <c r="J1571" s="299">
        <v>0.37</v>
      </c>
      <c r="K1571" s="300"/>
      <c r="L1571" s="301" t="s">
        <v>2395</v>
      </c>
    </row>
    <row r="1572" spans="1:12" ht="15">
      <c r="A1572" s="102"/>
      <c r="B1572" s="291"/>
      <c r="C1572" s="296"/>
      <c r="D1572" s="307"/>
      <c r="E1572" s="303"/>
      <c r="F1572" s="297" t="s">
        <v>1317</v>
      </c>
      <c r="G1572" s="298" t="s">
        <v>1199</v>
      </c>
      <c r="H1572" s="296" t="s">
        <v>2363</v>
      </c>
      <c r="I1572" s="309">
        <v>1</v>
      </c>
      <c r="J1572" s="299">
        <v>0.37</v>
      </c>
      <c r="K1572" s="300"/>
      <c r="L1572" s="301" t="s">
        <v>2396</v>
      </c>
    </row>
    <row r="1573" spans="1:12" ht="15">
      <c r="A1573" s="102"/>
      <c r="B1573" s="291"/>
      <c r="C1573" s="296"/>
      <c r="D1573" s="307"/>
      <c r="E1573" s="303"/>
      <c r="F1573" s="297" t="s">
        <v>1317</v>
      </c>
      <c r="G1573" s="298" t="s">
        <v>1223</v>
      </c>
      <c r="H1573" s="296" t="s">
        <v>1565</v>
      </c>
      <c r="I1573" s="309">
        <v>1</v>
      </c>
      <c r="J1573" s="299">
        <v>0.94</v>
      </c>
      <c r="K1573" s="300"/>
      <c r="L1573" s="301" t="s">
        <v>3901</v>
      </c>
    </row>
    <row r="1574" spans="1:12" ht="15">
      <c r="A1574" s="102"/>
      <c r="B1574" s="291"/>
      <c r="C1574" s="296"/>
      <c r="D1574" s="307" t="s">
        <v>2021</v>
      </c>
      <c r="E1574" s="303" t="s">
        <v>1302</v>
      </c>
      <c r="F1574" s="297"/>
      <c r="G1574" s="298"/>
      <c r="H1574" s="296"/>
      <c r="I1574" s="309">
        <v>1</v>
      </c>
      <c r="J1574" s="299"/>
      <c r="K1574" s="300"/>
      <c r="L1574" s="301" t="s">
        <v>2022</v>
      </c>
    </row>
    <row r="1575" spans="1:12" ht="15">
      <c r="A1575" s="102"/>
      <c r="B1575" s="291"/>
      <c r="C1575" s="296"/>
      <c r="D1575" s="307"/>
      <c r="E1575" s="303"/>
      <c r="F1575" s="297" t="s">
        <v>1317</v>
      </c>
      <c r="G1575" s="298" t="s">
        <v>1561</v>
      </c>
      <c r="H1575" s="296" t="s">
        <v>1569</v>
      </c>
      <c r="I1575" s="309">
        <v>4</v>
      </c>
      <c r="J1575" s="299">
        <v>0.09</v>
      </c>
      <c r="K1575" s="300"/>
      <c r="L1575" s="301" t="s">
        <v>2023</v>
      </c>
    </row>
    <row r="1576" spans="1:12" ht="15">
      <c r="A1576" s="102"/>
      <c r="B1576" s="291"/>
      <c r="C1576" s="296"/>
      <c r="D1576" s="307"/>
      <c r="E1576" s="303"/>
      <c r="F1576" s="297" t="s">
        <v>1317</v>
      </c>
      <c r="G1576" s="298" t="s">
        <v>1206</v>
      </c>
      <c r="H1576" s="296" t="s">
        <v>1987</v>
      </c>
      <c r="I1576" s="309">
        <v>1</v>
      </c>
      <c r="J1576" s="299">
        <v>11.68</v>
      </c>
      <c r="K1576" s="300" t="s">
        <v>3873</v>
      </c>
      <c r="L1576" s="301" t="s">
        <v>2024</v>
      </c>
    </row>
    <row r="1577" spans="1:12" ht="15">
      <c r="A1577" s="102"/>
      <c r="B1577" s="291"/>
      <c r="C1577" s="296"/>
      <c r="D1577" s="307"/>
      <c r="E1577" s="303"/>
      <c r="F1577" s="297" t="s">
        <v>1317</v>
      </c>
      <c r="G1577" s="298" t="s">
        <v>1199</v>
      </c>
      <c r="H1577" s="296" t="s">
        <v>1580</v>
      </c>
      <c r="I1577" s="309">
        <v>1</v>
      </c>
      <c r="J1577" s="299">
        <v>0.37</v>
      </c>
      <c r="K1577" s="300"/>
      <c r="L1577" s="301" t="s">
        <v>2025</v>
      </c>
    </row>
    <row r="1578" spans="1:12" ht="15">
      <c r="A1578" s="102"/>
      <c r="B1578" s="291"/>
      <c r="C1578" s="296"/>
      <c r="D1578" s="307"/>
      <c r="E1578" s="303"/>
      <c r="F1578" s="297" t="s">
        <v>1317</v>
      </c>
      <c r="G1578" s="298" t="s">
        <v>1199</v>
      </c>
      <c r="H1578" s="296" t="s">
        <v>1584</v>
      </c>
      <c r="I1578" s="309">
        <v>1</v>
      </c>
      <c r="J1578" s="299">
        <v>0.37</v>
      </c>
      <c r="K1578" s="300"/>
      <c r="L1578" s="301" t="s">
        <v>2026</v>
      </c>
    </row>
    <row r="1579" spans="1:12" ht="15">
      <c r="A1579" s="102"/>
      <c r="B1579" s="291"/>
      <c r="C1579" s="296"/>
      <c r="D1579" s="307"/>
      <c r="E1579" s="303"/>
      <c r="F1579" s="297" t="s">
        <v>1317</v>
      </c>
      <c r="G1579" s="298" t="s">
        <v>1199</v>
      </c>
      <c r="H1579" s="296" t="s">
        <v>2027</v>
      </c>
      <c r="I1579" s="309">
        <v>2</v>
      </c>
      <c r="J1579" s="299">
        <v>0.37</v>
      </c>
      <c r="K1579" s="300"/>
      <c r="L1579" s="301" t="s">
        <v>2028</v>
      </c>
    </row>
    <row r="1580" spans="1:12" ht="15">
      <c r="A1580" s="102"/>
      <c r="B1580" s="291"/>
      <c r="C1580" s="296"/>
      <c r="D1580" s="307"/>
      <c r="E1580" s="303"/>
      <c r="F1580" s="297" t="s">
        <v>1317</v>
      </c>
      <c r="G1580" s="298" t="s">
        <v>1633</v>
      </c>
      <c r="H1580" s="296" t="s">
        <v>1635</v>
      </c>
      <c r="I1580" s="309">
        <v>1</v>
      </c>
      <c r="J1580" s="299">
        <v>0</v>
      </c>
      <c r="K1580" s="300"/>
      <c r="L1580" s="301" t="s">
        <v>2029</v>
      </c>
    </row>
    <row r="1581" spans="1:12" ht="29.25">
      <c r="A1581" s="102"/>
      <c r="B1581" s="291"/>
      <c r="C1581" s="296"/>
      <c r="D1581" s="307"/>
      <c r="E1581" s="303"/>
      <c r="F1581" s="297" t="s">
        <v>1317</v>
      </c>
      <c r="G1581" s="298" t="s">
        <v>1199</v>
      </c>
      <c r="H1581" s="307" t="s">
        <v>3024</v>
      </c>
      <c r="I1581" s="309">
        <v>1</v>
      </c>
      <c r="J1581" s="299">
        <v>0.37</v>
      </c>
      <c r="K1581" s="300"/>
      <c r="L1581" s="301" t="s">
        <v>3023</v>
      </c>
    </row>
    <row r="1582" spans="1:12" ht="15">
      <c r="A1582" s="102"/>
      <c r="B1582" s="291"/>
      <c r="C1582" s="296"/>
      <c r="D1582" s="307"/>
      <c r="E1582" s="303"/>
      <c r="F1582" s="297" t="s">
        <v>1309</v>
      </c>
      <c r="G1582" s="298" t="s">
        <v>1228</v>
      </c>
      <c r="H1582" s="307" t="s">
        <v>2749</v>
      </c>
      <c r="I1582" s="309">
        <v>2</v>
      </c>
      <c r="J1582" s="299">
        <v>0.16</v>
      </c>
      <c r="K1582" s="300"/>
      <c r="L1582" s="301" t="s">
        <v>3040</v>
      </c>
    </row>
    <row r="1583" spans="1:12" ht="15">
      <c r="A1583" s="102"/>
      <c r="B1583" s="291"/>
      <c r="C1583" s="296"/>
      <c r="D1583" s="307"/>
      <c r="E1583" s="303"/>
      <c r="F1583" s="297" t="s">
        <v>1309</v>
      </c>
      <c r="G1583" s="298" t="s">
        <v>1230</v>
      </c>
      <c r="H1583" s="307" t="s">
        <v>1565</v>
      </c>
      <c r="I1583" s="309">
        <v>2</v>
      </c>
      <c r="J1583" s="299">
        <v>0.04</v>
      </c>
      <c r="K1583" s="300"/>
      <c r="L1583" s="301" t="s">
        <v>3041</v>
      </c>
    </row>
    <row r="1584" spans="1:12" ht="15">
      <c r="A1584" s="102"/>
      <c r="B1584" s="291"/>
      <c r="C1584" s="296"/>
      <c r="D1584" s="307"/>
      <c r="E1584" s="303"/>
      <c r="F1584" s="297" t="s">
        <v>1317</v>
      </c>
      <c r="G1584" s="298" t="s">
        <v>1210</v>
      </c>
      <c r="H1584" s="307"/>
      <c r="I1584" s="309">
        <v>4</v>
      </c>
      <c r="J1584" s="299">
        <v>0.03</v>
      </c>
      <c r="K1584" s="300"/>
      <c r="L1584" s="301" t="s">
        <v>3042</v>
      </c>
    </row>
    <row r="1585" spans="1:13" ht="15">
      <c r="A1585" s="102"/>
      <c r="D1585" s="333"/>
      <c r="F1585" s="96"/>
      <c r="H1585" s="96"/>
      <c r="I1585" s="397"/>
      <c r="J1585" s="96"/>
      <c r="K1585" s="96"/>
      <c r="L1585" s="333"/>
    </row>
    <row r="1586" spans="1:13">
      <c r="A1586" s="290"/>
      <c r="B1586" s="291" t="s">
        <v>9</v>
      </c>
      <c r="C1586" s="292" t="s">
        <v>3291</v>
      </c>
      <c r="D1586" s="292"/>
      <c r="E1586" s="408"/>
      <c r="F1586" s="293"/>
      <c r="G1586" s="291"/>
      <c r="H1586" s="292"/>
      <c r="I1586" s="428">
        <v>2</v>
      </c>
      <c r="J1586" s="294"/>
      <c r="K1586" s="295"/>
      <c r="L1586" s="335" t="s">
        <v>3289</v>
      </c>
    </row>
    <row r="1587" spans="1:13">
      <c r="A1587" s="290"/>
      <c r="B1587" s="291"/>
      <c r="C1587" s="296"/>
      <c r="D1587" s="296" t="s">
        <v>3293</v>
      </c>
      <c r="E1587" s="303" t="s">
        <v>1302</v>
      </c>
      <c r="F1587" s="297"/>
      <c r="G1587" s="298"/>
      <c r="H1587" s="296" t="s">
        <v>3292</v>
      </c>
      <c r="I1587" s="309">
        <v>2</v>
      </c>
      <c r="J1587" s="299"/>
      <c r="K1587" s="300"/>
      <c r="L1587" s="301" t="s">
        <v>3290</v>
      </c>
    </row>
    <row r="1588" spans="1:13">
      <c r="A1588" s="290"/>
      <c r="B1588" s="291"/>
      <c r="C1588" s="296"/>
      <c r="D1588" s="296"/>
      <c r="E1588" s="303"/>
      <c r="F1588" s="297" t="s">
        <v>1305</v>
      </c>
      <c r="G1588" s="298" t="s">
        <v>1007</v>
      </c>
      <c r="H1588" s="296" t="s">
        <v>1362</v>
      </c>
      <c r="I1588" s="309">
        <v>1</v>
      </c>
      <c r="J1588" s="299">
        <v>0.11</v>
      </c>
      <c r="K1588" s="300" t="s">
        <v>3902</v>
      </c>
      <c r="L1588" s="301" t="s">
        <v>3296</v>
      </c>
    </row>
    <row r="1589" spans="1:13" s="333" customFormat="1">
      <c r="A1589" s="290"/>
      <c r="B1589" s="291"/>
      <c r="C1589" s="296"/>
      <c r="D1589" s="296"/>
      <c r="E1589" s="303"/>
      <c r="F1589" s="297" t="s">
        <v>1317</v>
      </c>
      <c r="G1589" s="298" t="s">
        <v>1157</v>
      </c>
      <c r="H1589" s="296" t="s">
        <v>1339</v>
      </c>
      <c r="I1589" s="309">
        <v>1</v>
      </c>
      <c r="J1589" s="299">
        <v>0.57999999999999996</v>
      </c>
      <c r="K1589" s="300"/>
      <c r="L1589" s="301" t="s">
        <v>3297</v>
      </c>
      <c r="M1589" s="367"/>
    </row>
    <row r="1590" spans="1:13" s="333" customFormat="1">
      <c r="A1590" s="290"/>
      <c r="B1590" s="291"/>
      <c r="C1590" s="296"/>
      <c r="D1590" s="296"/>
      <c r="E1590" s="303"/>
      <c r="F1590" s="297" t="s">
        <v>1317</v>
      </c>
      <c r="G1590" s="298" t="s">
        <v>1208</v>
      </c>
      <c r="H1590" s="296" t="s">
        <v>3122</v>
      </c>
      <c r="I1590" s="309">
        <v>1</v>
      </c>
      <c r="J1590" s="299">
        <v>0.56000000000000005</v>
      </c>
      <c r="K1590" s="300"/>
      <c r="L1590" s="301" t="s">
        <v>3298</v>
      </c>
      <c r="M1590" s="367"/>
    </row>
    <row r="1591" spans="1:13" s="333" customFormat="1">
      <c r="A1591" s="290"/>
      <c r="B1591" s="291"/>
      <c r="C1591" s="296"/>
      <c r="D1591" s="296"/>
      <c r="E1591" s="303"/>
      <c r="F1591" s="297" t="s">
        <v>1317</v>
      </c>
      <c r="G1591" s="298" t="s">
        <v>1223</v>
      </c>
      <c r="H1591" s="296" t="s">
        <v>2034</v>
      </c>
      <c r="I1591" s="309">
        <v>1</v>
      </c>
      <c r="J1591" s="299">
        <v>0.94</v>
      </c>
      <c r="K1591" s="300"/>
      <c r="L1591" s="301" t="s">
        <v>3299</v>
      </c>
      <c r="M1591" s="367"/>
    </row>
    <row r="1592" spans="1:13" s="333" customFormat="1">
      <c r="A1592" s="290"/>
      <c r="B1592" s="291"/>
      <c r="C1592" s="296"/>
      <c r="D1592" s="296"/>
      <c r="E1592" s="303"/>
      <c r="F1592" s="297" t="s">
        <v>1317</v>
      </c>
      <c r="G1592" s="298" t="s">
        <v>1539</v>
      </c>
      <c r="H1592" s="296" t="s">
        <v>1981</v>
      </c>
      <c r="I1592" s="309">
        <v>1</v>
      </c>
      <c r="J1592" s="299">
        <v>2.81</v>
      </c>
      <c r="K1592" s="300"/>
      <c r="L1592" s="301" t="s">
        <v>3300</v>
      </c>
      <c r="M1592" s="367"/>
    </row>
    <row r="1593" spans="1:13">
      <c r="A1593" s="290"/>
      <c r="B1593" s="291"/>
      <c r="C1593" s="296"/>
      <c r="D1593" s="296"/>
      <c r="E1593" s="303"/>
      <c r="F1593" s="297" t="s">
        <v>1317</v>
      </c>
      <c r="G1593" s="298" t="s">
        <v>1572</v>
      </c>
      <c r="H1593" s="296" t="s">
        <v>3301</v>
      </c>
      <c r="I1593" s="309">
        <v>1</v>
      </c>
      <c r="J1593" s="299">
        <v>0.02</v>
      </c>
      <c r="K1593" s="300"/>
      <c r="L1593" s="301" t="s">
        <v>3302</v>
      </c>
    </row>
    <row r="1594" spans="1:13">
      <c r="A1594" s="290"/>
      <c r="B1594" s="291"/>
      <c r="C1594" s="296"/>
      <c r="D1594" s="296"/>
      <c r="E1594" s="303"/>
      <c r="F1594" s="297" t="s">
        <v>1317</v>
      </c>
      <c r="G1594" s="298" t="s">
        <v>1199</v>
      </c>
      <c r="H1594" s="296" t="s">
        <v>3303</v>
      </c>
      <c r="I1594" s="309">
        <v>1</v>
      </c>
      <c r="J1594" s="299">
        <v>0.37</v>
      </c>
      <c r="K1594" s="300"/>
      <c r="L1594" s="301" t="s">
        <v>3304</v>
      </c>
    </row>
    <row r="1595" spans="1:13" ht="28.5">
      <c r="A1595" s="290"/>
      <c r="B1595" s="291"/>
      <c r="C1595" s="296"/>
      <c r="D1595" s="296"/>
      <c r="E1595" s="303"/>
      <c r="F1595" s="297" t="s">
        <v>1317</v>
      </c>
      <c r="G1595" s="298" t="s">
        <v>1199</v>
      </c>
      <c r="H1595" s="307" t="s">
        <v>3306</v>
      </c>
      <c r="I1595" s="309">
        <v>1</v>
      </c>
      <c r="J1595" s="299">
        <v>0.37</v>
      </c>
      <c r="K1595" s="300"/>
      <c r="L1595" s="301" t="s">
        <v>3305</v>
      </c>
    </row>
    <row r="1596" spans="1:13" ht="15">
      <c r="A1596" s="102"/>
      <c r="B1596" s="291"/>
      <c r="C1596" s="296"/>
      <c r="D1596" s="296" t="s">
        <v>3307</v>
      </c>
      <c r="E1596" s="303" t="s">
        <v>1302</v>
      </c>
      <c r="F1596" s="297"/>
      <c r="G1596" s="298"/>
      <c r="H1596" s="307"/>
      <c r="I1596" s="309">
        <v>1</v>
      </c>
      <c r="J1596" s="299"/>
      <c r="K1596" s="300"/>
      <c r="L1596" s="301" t="s">
        <v>3308</v>
      </c>
    </row>
    <row r="1597" spans="1:13" ht="15">
      <c r="A1597" s="102"/>
      <c r="B1597" s="291"/>
      <c r="C1597" s="296"/>
      <c r="D1597" s="296"/>
      <c r="E1597" s="303"/>
      <c r="F1597" s="297" t="s">
        <v>1305</v>
      </c>
      <c r="G1597" s="298" t="s">
        <v>999</v>
      </c>
      <c r="H1597" s="307" t="s">
        <v>3311</v>
      </c>
      <c r="I1597" s="309">
        <v>1</v>
      </c>
      <c r="J1597" s="299">
        <v>6.76</v>
      </c>
      <c r="K1597" s="300" t="s">
        <v>3903</v>
      </c>
      <c r="L1597" s="301" t="s">
        <v>3309</v>
      </c>
    </row>
    <row r="1598" spans="1:13" ht="15">
      <c r="A1598" s="102"/>
      <c r="B1598" s="291"/>
      <c r="C1598" s="296"/>
      <c r="D1598" s="296"/>
      <c r="E1598" s="303"/>
      <c r="F1598" s="297" t="s">
        <v>1317</v>
      </c>
      <c r="G1598" s="298" t="s">
        <v>1413</v>
      </c>
      <c r="H1598" s="307" t="s">
        <v>3313</v>
      </c>
      <c r="I1598" s="309">
        <v>1</v>
      </c>
      <c r="J1598" s="299">
        <v>0.93</v>
      </c>
      <c r="K1598" s="300"/>
      <c r="L1598" s="301" t="s">
        <v>3314</v>
      </c>
    </row>
    <row r="1599" spans="1:13" ht="15">
      <c r="A1599" s="102"/>
      <c r="B1599" s="291"/>
      <c r="C1599" s="296"/>
      <c r="D1599" s="296"/>
      <c r="E1599" s="303"/>
      <c r="F1599" s="297" t="s">
        <v>1317</v>
      </c>
      <c r="G1599" s="298" t="s">
        <v>1211</v>
      </c>
      <c r="H1599" s="307" t="s">
        <v>3231</v>
      </c>
      <c r="I1599" s="309">
        <v>1</v>
      </c>
      <c r="J1599" s="299">
        <v>0.04</v>
      </c>
      <c r="K1599" s="300"/>
      <c r="L1599" s="301" t="s">
        <v>3315</v>
      </c>
    </row>
    <row r="1600" spans="1:13" ht="15">
      <c r="A1600" s="102"/>
      <c r="B1600" s="291"/>
      <c r="C1600" s="296"/>
      <c r="D1600" s="296"/>
      <c r="E1600" s="303"/>
      <c r="F1600" s="297" t="s">
        <v>1317</v>
      </c>
      <c r="G1600" s="298" t="s">
        <v>1544</v>
      </c>
      <c r="H1600" s="307" t="s">
        <v>1557</v>
      </c>
      <c r="I1600" s="309">
        <v>1</v>
      </c>
      <c r="J1600" s="299">
        <v>0.06</v>
      </c>
      <c r="K1600" s="300"/>
      <c r="L1600" s="301" t="s">
        <v>3316</v>
      </c>
    </row>
    <row r="1601" spans="1:12" ht="15">
      <c r="A1601" s="102"/>
      <c r="B1601" s="291"/>
      <c r="C1601" s="296"/>
      <c r="D1601" s="296"/>
      <c r="E1601" s="303"/>
      <c r="F1601" s="297" t="s">
        <v>1317</v>
      </c>
      <c r="G1601" s="298" t="s">
        <v>3317</v>
      </c>
      <c r="H1601" s="307" t="s">
        <v>3301</v>
      </c>
      <c r="I1601" s="309">
        <v>1</v>
      </c>
      <c r="J1601" s="299">
        <v>0.11</v>
      </c>
      <c r="K1601" s="300"/>
      <c r="L1601" s="301" t="s">
        <v>3318</v>
      </c>
    </row>
    <row r="1602" spans="1:12" ht="15">
      <c r="A1602" s="102"/>
      <c r="B1602" s="291"/>
      <c r="C1602" s="296"/>
      <c r="D1602" s="296"/>
      <c r="E1602" s="303"/>
      <c r="F1602" s="297" t="s">
        <v>1317</v>
      </c>
      <c r="G1602" s="298" t="s">
        <v>1199</v>
      </c>
      <c r="H1602" s="307" t="s">
        <v>3319</v>
      </c>
      <c r="I1602" s="309">
        <v>1</v>
      </c>
      <c r="J1602" s="299">
        <v>0.37</v>
      </c>
      <c r="K1602" s="300"/>
      <c r="L1602" s="301" t="s">
        <v>3320</v>
      </c>
    </row>
    <row r="1603" spans="1:12" ht="15">
      <c r="A1603" s="102"/>
      <c r="B1603" s="291"/>
      <c r="C1603" s="296"/>
      <c r="D1603" s="296" t="s">
        <v>3321</v>
      </c>
      <c r="E1603" s="303" t="s">
        <v>1302</v>
      </c>
      <c r="F1603" s="297"/>
      <c r="G1603" s="298"/>
      <c r="H1603" s="307"/>
      <c r="I1603" s="309">
        <v>1</v>
      </c>
      <c r="J1603" s="299"/>
      <c r="K1603" s="300"/>
      <c r="L1603" s="301" t="s">
        <v>3322</v>
      </c>
    </row>
    <row r="1604" spans="1:12" ht="28.5">
      <c r="A1604" s="442"/>
      <c r="B1604" s="444"/>
      <c r="C1604" s="301"/>
      <c r="D1604" s="301"/>
      <c r="E1604" s="303"/>
      <c r="F1604" s="303" t="s">
        <v>1317</v>
      </c>
      <c r="G1604" s="308" t="s">
        <v>1561</v>
      </c>
      <c r="H1604" s="302" t="s">
        <v>3324</v>
      </c>
      <c r="I1604" s="309">
        <v>1</v>
      </c>
      <c r="J1604" s="310">
        <v>0.09</v>
      </c>
      <c r="K1604" s="311"/>
      <c r="L1604" s="301" t="s">
        <v>3323</v>
      </c>
    </row>
    <row r="1605" spans="1:12" ht="15">
      <c r="A1605" s="442"/>
      <c r="B1605" s="444"/>
      <c r="C1605" s="301"/>
      <c r="D1605" s="301"/>
      <c r="E1605" s="303"/>
      <c r="F1605" s="303" t="s">
        <v>1317</v>
      </c>
      <c r="G1605" s="308" t="s">
        <v>1206</v>
      </c>
      <c r="H1605" s="302" t="s">
        <v>3325</v>
      </c>
      <c r="I1605" s="309">
        <v>1</v>
      </c>
      <c r="J1605" s="310">
        <v>11.68</v>
      </c>
      <c r="K1605" s="311" t="s">
        <v>3873</v>
      </c>
      <c r="L1605" s="301" t="s">
        <v>3326</v>
      </c>
    </row>
    <row r="1606" spans="1:12" ht="15">
      <c r="A1606" s="442"/>
      <c r="B1606" s="444"/>
      <c r="C1606" s="301"/>
      <c r="D1606" s="301"/>
      <c r="E1606" s="303"/>
      <c r="F1606" s="303" t="s">
        <v>1317</v>
      </c>
      <c r="G1606" s="308" t="s">
        <v>1199</v>
      </c>
      <c r="H1606" s="302" t="s">
        <v>1582</v>
      </c>
      <c r="I1606" s="309">
        <v>1</v>
      </c>
      <c r="J1606" s="310">
        <v>0.37</v>
      </c>
      <c r="K1606" s="311"/>
      <c r="L1606" s="301" t="s">
        <v>3327</v>
      </c>
    </row>
    <row r="1607" spans="1:12" ht="15">
      <c r="A1607" s="442"/>
      <c r="B1607" s="444"/>
      <c r="C1607" s="301"/>
      <c r="D1607" s="301"/>
      <c r="E1607" s="303"/>
      <c r="F1607" s="303" t="s">
        <v>1317</v>
      </c>
      <c r="G1607" s="308" t="s">
        <v>1633</v>
      </c>
      <c r="H1607" s="302" t="s">
        <v>3328</v>
      </c>
      <c r="I1607" s="309">
        <v>1</v>
      </c>
      <c r="J1607" s="310">
        <v>0</v>
      </c>
      <c r="K1607" s="311"/>
      <c r="L1607" s="301" t="s">
        <v>3329</v>
      </c>
    </row>
    <row r="1608" spans="1:12" ht="15">
      <c r="A1608" s="102"/>
      <c r="D1608" s="333"/>
      <c r="F1608" s="96"/>
      <c r="H1608" s="96"/>
      <c r="I1608" s="397"/>
      <c r="J1608" s="96"/>
      <c r="K1608" s="96"/>
      <c r="L1608" s="333"/>
    </row>
    <row r="1609" spans="1:12">
      <c r="A1609" s="290"/>
      <c r="B1609" s="291" t="s">
        <v>9</v>
      </c>
      <c r="C1609" s="292" t="s">
        <v>3330</v>
      </c>
      <c r="D1609" s="292"/>
      <c r="E1609" s="408"/>
      <c r="F1609" s="293"/>
      <c r="G1609" s="291"/>
      <c r="H1609" s="292"/>
      <c r="I1609" s="428">
        <v>2</v>
      </c>
      <c r="J1609" s="294"/>
      <c r="K1609" s="295"/>
      <c r="L1609" s="335" t="s">
        <v>3333</v>
      </c>
    </row>
    <row r="1610" spans="1:12">
      <c r="A1610" s="290"/>
      <c r="B1610" s="291"/>
      <c r="C1610" s="296"/>
      <c r="D1610" s="296" t="s">
        <v>3331</v>
      </c>
      <c r="E1610" s="303" t="s">
        <v>1311</v>
      </c>
      <c r="F1610" s="297"/>
      <c r="G1610" s="298"/>
      <c r="H1610" s="296" t="s">
        <v>3332</v>
      </c>
      <c r="I1610" s="309">
        <v>2</v>
      </c>
      <c r="J1610" s="299">
        <v>340</v>
      </c>
      <c r="K1610" s="300"/>
      <c r="L1610" s="301" t="s">
        <v>3334</v>
      </c>
    </row>
    <row r="1611" spans="1:12" ht="15">
      <c r="A1611" s="102"/>
      <c r="B1611" s="291"/>
      <c r="C1611" s="296"/>
      <c r="D1611" s="296" t="s">
        <v>3342</v>
      </c>
      <c r="E1611" s="303" t="s">
        <v>1302</v>
      </c>
      <c r="F1611" s="297"/>
      <c r="G1611" s="298"/>
      <c r="H1611" s="296"/>
      <c r="I1611" s="309">
        <v>1</v>
      </c>
      <c r="J1611" s="299"/>
      <c r="K1611" s="300"/>
      <c r="L1611" s="301" t="s">
        <v>3343</v>
      </c>
    </row>
    <row r="1612" spans="1:12" ht="15">
      <c r="A1612" s="102"/>
      <c r="B1612" s="291"/>
      <c r="C1612" s="296"/>
      <c r="D1612" s="296"/>
      <c r="E1612" s="303"/>
      <c r="F1612" s="297" t="s">
        <v>1317</v>
      </c>
      <c r="G1612" s="298" t="s">
        <v>1199</v>
      </c>
      <c r="H1612" s="296" t="s">
        <v>3344</v>
      </c>
      <c r="I1612" s="309">
        <v>1</v>
      </c>
      <c r="J1612" s="299">
        <v>0.37</v>
      </c>
      <c r="K1612" s="300"/>
      <c r="L1612" s="301" t="s">
        <v>3345</v>
      </c>
    </row>
    <row r="1613" spans="1:12" ht="15">
      <c r="A1613" s="102"/>
      <c r="B1613" s="291"/>
      <c r="C1613" s="296"/>
      <c r="D1613" s="296"/>
      <c r="E1613" s="303"/>
      <c r="F1613" s="297" t="s">
        <v>1317</v>
      </c>
      <c r="G1613" s="298" t="s">
        <v>1199</v>
      </c>
      <c r="H1613" s="296" t="s">
        <v>3347</v>
      </c>
      <c r="I1613" s="309">
        <v>1</v>
      </c>
      <c r="J1613" s="299">
        <v>0.37</v>
      </c>
      <c r="K1613" s="300"/>
      <c r="L1613" s="301" t="s">
        <v>3346</v>
      </c>
    </row>
    <row r="1614" spans="1:12" ht="15">
      <c r="A1614" s="102"/>
      <c r="B1614" s="291"/>
      <c r="C1614" s="296"/>
      <c r="D1614" s="296"/>
      <c r="E1614" s="303"/>
      <c r="F1614" s="297" t="s">
        <v>1317</v>
      </c>
      <c r="G1614" s="298" t="s">
        <v>1199</v>
      </c>
      <c r="H1614" s="296" t="s">
        <v>3348</v>
      </c>
      <c r="I1614" s="309">
        <v>2</v>
      </c>
      <c r="J1614" s="299">
        <v>0.37</v>
      </c>
      <c r="K1614" s="300"/>
      <c r="L1614" s="301" t="s">
        <v>3349</v>
      </c>
    </row>
    <row r="1615" spans="1:12" ht="15">
      <c r="A1615" s="102"/>
      <c r="B1615" s="291"/>
      <c r="C1615" s="296"/>
      <c r="D1615" s="296"/>
      <c r="E1615" s="303"/>
      <c r="F1615" s="297" t="s">
        <v>1309</v>
      </c>
      <c r="G1615" s="298" t="s">
        <v>1228</v>
      </c>
      <c r="H1615" s="296" t="s">
        <v>3904</v>
      </c>
      <c r="I1615" s="309">
        <v>2</v>
      </c>
      <c r="J1615" s="299">
        <v>0.24</v>
      </c>
      <c r="K1615" s="300"/>
      <c r="L1615" s="301" t="s">
        <v>3350</v>
      </c>
    </row>
    <row r="1616" spans="1:12" ht="15">
      <c r="A1616" s="102"/>
      <c r="B1616" s="291"/>
      <c r="C1616" s="296"/>
      <c r="D1616" s="296"/>
      <c r="E1616" s="303"/>
      <c r="F1616" s="297" t="s">
        <v>1309</v>
      </c>
      <c r="G1616" s="298" t="s">
        <v>1230</v>
      </c>
      <c r="H1616" s="296" t="s">
        <v>1623</v>
      </c>
      <c r="I1616" s="309">
        <v>2</v>
      </c>
      <c r="J1616" s="299">
        <v>0.1</v>
      </c>
      <c r="K1616" s="300"/>
      <c r="L1616" s="301" t="s">
        <v>3351</v>
      </c>
    </row>
    <row r="1617" spans="1:12" ht="15">
      <c r="A1617" s="102"/>
      <c r="B1617" s="291"/>
      <c r="C1617" s="296"/>
      <c r="D1617" s="296"/>
      <c r="E1617" s="303"/>
      <c r="F1617" s="297" t="s">
        <v>1317</v>
      </c>
      <c r="G1617" s="298" t="s">
        <v>1210</v>
      </c>
      <c r="H1617" s="296" t="s">
        <v>1623</v>
      </c>
      <c r="I1617" s="309">
        <v>4</v>
      </c>
      <c r="J1617" s="299">
        <v>0.03</v>
      </c>
      <c r="K1617" s="300"/>
      <c r="L1617" s="301" t="s">
        <v>3352</v>
      </c>
    </row>
    <row r="1618" spans="1:12" ht="15">
      <c r="A1618" s="102"/>
      <c r="D1618" s="333"/>
      <c r="F1618" s="96"/>
      <c r="H1618" s="96"/>
      <c r="I1618" s="397"/>
      <c r="J1618" s="96"/>
      <c r="K1618" s="96"/>
      <c r="L1618" s="333"/>
    </row>
    <row r="1619" spans="1:12">
      <c r="A1619" s="290"/>
      <c r="B1619" s="291" t="s">
        <v>9</v>
      </c>
      <c r="C1619" s="292" t="s">
        <v>22</v>
      </c>
      <c r="D1619" s="292"/>
      <c r="E1619" s="408"/>
      <c r="F1619" s="293"/>
      <c r="G1619" s="291"/>
      <c r="H1619" s="292"/>
      <c r="I1619" s="428">
        <v>2</v>
      </c>
      <c r="J1619" s="294"/>
      <c r="K1619" s="295"/>
      <c r="L1619" s="335" t="s">
        <v>3337</v>
      </c>
    </row>
    <row r="1620" spans="1:12">
      <c r="A1620" s="290"/>
      <c r="B1620" s="291"/>
      <c r="C1620" s="296"/>
      <c r="D1620" s="296" t="s">
        <v>3335</v>
      </c>
      <c r="E1620" s="303" t="s">
        <v>1311</v>
      </c>
      <c r="F1620" s="297"/>
      <c r="G1620" s="298"/>
      <c r="H1620" s="296" t="s">
        <v>3336</v>
      </c>
      <c r="I1620" s="309">
        <v>1</v>
      </c>
      <c r="J1620" s="299">
        <v>53.83</v>
      </c>
      <c r="K1620" s="300"/>
      <c r="L1620" s="301" t="s">
        <v>3338</v>
      </c>
    </row>
    <row r="1621" spans="1:12" ht="15">
      <c r="A1621" s="102"/>
      <c r="B1621" s="291"/>
      <c r="C1621" s="296"/>
      <c r="D1621" s="296" t="s">
        <v>3340</v>
      </c>
      <c r="E1621" s="303" t="s">
        <v>1311</v>
      </c>
      <c r="F1621" s="297"/>
      <c r="G1621" s="298"/>
      <c r="H1621" s="296" t="s">
        <v>3341</v>
      </c>
      <c r="I1621" s="309">
        <v>1</v>
      </c>
      <c r="J1621" s="299">
        <v>53.04</v>
      </c>
      <c r="K1621" s="300"/>
      <c r="L1621" s="301" t="s">
        <v>3339</v>
      </c>
    </row>
    <row r="1622" spans="1:12" ht="15">
      <c r="A1622" s="102"/>
      <c r="D1622" s="333"/>
      <c r="F1622" s="96"/>
      <c r="H1622" s="96"/>
      <c r="I1622" s="397"/>
      <c r="J1622" s="96"/>
      <c r="K1622" s="96"/>
      <c r="L1622" s="333"/>
    </row>
    <row r="1623" spans="1:12" ht="18">
      <c r="A1623" s="158" t="s">
        <v>38</v>
      </c>
      <c r="B1623" s="131"/>
      <c r="C1623" s="131"/>
      <c r="D1623" s="336"/>
      <c r="E1623" s="409"/>
      <c r="F1623" s="132"/>
      <c r="G1623" s="336"/>
      <c r="H1623" s="159" t="s">
        <v>1247</v>
      </c>
      <c r="I1623" s="414">
        <v>1</v>
      </c>
      <c r="J1623" s="133">
        <v>0</v>
      </c>
      <c r="K1623" s="161">
        <f>J1623*I1623</f>
        <v>0</v>
      </c>
      <c r="L1623" s="336"/>
    </row>
    <row r="1625" spans="1:12">
      <c r="A1625" s="101"/>
      <c r="B1625" s="274" t="s">
        <v>30</v>
      </c>
      <c r="C1625" s="275" t="s">
        <v>122</v>
      </c>
      <c r="D1625" s="337"/>
      <c r="E1625" s="410"/>
      <c r="F1625" s="276"/>
      <c r="G1625" s="337"/>
      <c r="H1625" s="275"/>
      <c r="I1625" s="429">
        <v>2</v>
      </c>
      <c r="J1625" s="277">
        <v>0</v>
      </c>
      <c r="K1625" s="278"/>
      <c r="L1625" s="337" t="s">
        <v>1468</v>
      </c>
    </row>
    <row r="1626" spans="1:12">
      <c r="A1626" s="101"/>
      <c r="B1626" s="274"/>
      <c r="C1626" s="256"/>
      <c r="D1626" s="330" t="s">
        <v>1467</v>
      </c>
      <c r="E1626" s="304" t="s">
        <v>1302</v>
      </c>
      <c r="F1626" s="197"/>
      <c r="G1626" s="330"/>
      <c r="H1626" s="256"/>
      <c r="I1626" s="306">
        <v>1</v>
      </c>
      <c r="J1626" s="257">
        <v>0</v>
      </c>
      <c r="K1626" s="258"/>
      <c r="L1626" s="330" t="s">
        <v>1469</v>
      </c>
    </row>
    <row r="1627" spans="1:12">
      <c r="A1627" s="101"/>
      <c r="B1627" s="274"/>
      <c r="C1627" s="256"/>
      <c r="D1627" s="330"/>
      <c r="E1627" s="304"/>
      <c r="F1627" s="197" t="s">
        <v>1305</v>
      </c>
      <c r="G1627" s="330" t="s">
        <v>1007</v>
      </c>
      <c r="H1627" s="256" t="s">
        <v>1362</v>
      </c>
      <c r="I1627" s="306">
        <v>1</v>
      </c>
      <c r="J1627" s="257"/>
      <c r="K1627" s="258"/>
      <c r="L1627" s="330" t="s">
        <v>1470</v>
      </c>
    </row>
    <row r="1628" spans="1:12">
      <c r="A1628" s="101"/>
      <c r="B1628" s="274"/>
      <c r="C1628" s="256"/>
      <c r="D1628" s="330"/>
      <c r="E1628" s="304"/>
      <c r="F1628" s="197" t="s">
        <v>1317</v>
      </c>
      <c r="G1628" s="330" t="s">
        <v>1157</v>
      </c>
      <c r="H1628" s="256" t="s">
        <v>1471</v>
      </c>
      <c r="I1628" s="306">
        <v>1</v>
      </c>
      <c r="J1628" s="257"/>
      <c r="K1628" s="258"/>
      <c r="L1628" s="330" t="s">
        <v>1472</v>
      </c>
    </row>
    <row r="1629" spans="1:12">
      <c r="A1629" s="101"/>
      <c r="B1629" s="274"/>
      <c r="C1629" s="256"/>
      <c r="D1629" s="330"/>
      <c r="E1629" s="304"/>
      <c r="F1629" s="304" t="s">
        <v>1317</v>
      </c>
      <c r="G1629" s="330" t="s">
        <v>1223</v>
      </c>
      <c r="H1629" s="305" t="s">
        <v>2872</v>
      </c>
      <c r="I1629" s="306">
        <v>1</v>
      </c>
      <c r="J1629" s="257"/>
      <c r="K1629" s="258"/>
      <c r="L1629" s="330" t="s">
        <v>1473</v>
      </c>
    </row>
    <row r="1630" spans="1:12">
      <c r="A1630" s="101"/>
      <c r="B1630" s="274"/>
      <c r="C1630" s="256"/>
      <c r="D1630" s="330"/>
      <c r="E1630" s="304"/>
      <c r="F1630" s="197" t="s">
        <v>1317</v>
      </c>
      <c r="G1630" s="330" t="s">
        <v>1223</v>
      </c>
      <c r="H1630" s="256" t="s">
        <v>1623</v>
      </c>
      <c r="I1630" s="306">
        <v>8</v>
      </c>
      <c r="J1630" s="257"/>
      <c r="K1630" s="258"/>
      <c r="L1630" s="330" t="s">
        <v>1594</v>
      </c>
    </row>
    <row r="1631" spans="1:12">
      <c r="A1631" s="101"/>
      <c r="B1631" s="274"/>
      <c r="C1631" s="256"/>
      <c r="D1631" s="330"/>
      <c r="E1631" s="304"/>
      <c r="F1631" s="197" t="s">
        <v>1317</v>
      </c>
      <c r="G1631" s="330" t="s">
        <v>1199</v>
      </c>
      <c r="H1631" s="256" t="s">
        <v>2875</v>
      </c>
      <c r="I1631" s="306">
        <v>1</v>
      </c>
      <c r="J1631" s="257"/>
      <c r="K1631" s="258"/>
      <c r="L1631" s="330" t="s">
        <v>2874</v>
      </c>
    </row>
    <row r="1633" spans="1:12">
      <c r="A1633" s="101"/>
      <c r="B1633" s="274" t="s">
        <v>30</v>
      </c>
      <c r="C1633" s="275" t="s">
        <v>124</v>
      </c>
      <c r="D1633" s="337"/>
      <c r="E1633" s="410"/>
      <c r="F1633" s="276"/>
      <c r="G1633" s="337"/>
      <c r="H1633" s="275"/>
      <c r="I1633" s="429">
        <v>2</v>
      </c>
      <c r="J1633" s="277">
        <v>0</v>
      </c>
      <c r="K1633" s="278"/>
      <c r="L1633" s="337" t="s">
        <v>1475</v>
      </c>
    </row>
    <row r="1634" spans="1:12">
      <c r="A1634" s="101"/>
      <c r="B1634" s="274"/>
      <c r="C1634" s="256"/>
      <c r="D1634" s="330" t="s">
        <v>1474</v>
      </c>
      <c r="E1634" s="304" t="s">
        <v>1302</v>
      </c>
      <c r="F1634" s="197"/>
      <c r="G1634" s="330"/>
      <c r="H1634" s="256"/>
      <c r="I1634" s="306">
        <v>1</v>
      </c>
      <c r="J1634" s="257">
        <v>0</v>
      </c>
      <c r="K1634" s="258"/>
      <c r="L1634" s="330" t="s">
        <v>1476</v>
      </c>
    </row>
    <row r="1635" spans="1:12">
      <c r="A1635" s="101"/>
      <c r="B1635" s="274"/>
      <c r="C1635" s="256"/>
      <c r="D1635" s="330"/>
      <c r="E1635" s="304"/>
      <c r="F1635" s="197" t="s">
        <v>1305</v>
      </c>
      <c r="G1635" s="330" t="s">
        <v>1007</v>
      </c>
      <c r="H1635" s="256" t="s">
        <v>1362</v>
      </c>
      <c r="I1635" s="306">
        <v>1</v>
      </c>
      <c r="J1635" s="257"/>
      <c r="K1635" s="258"/>
      <c r="L1635" s="330" t="s">
        <v>1477</v>
      </c>
    </row>
    <row r="1636" spans="1:12">
      <c r="A1636" s="101"/>
      <c r="B1636" s="274"/>
      <c r="C1636" s="256"/>
      <c r="D1636" s="330"/>
      <c r="E1636" s="304"/>
      <c r="F1636" s="197" t="s">
        <v>1317</v>
      </c>
      <c r="G1636" s="330" t="s">
        <v>1157</v>
      </c>
      <c r="H1636" s="256" t="s">
        <v>1471</v>
      </c>
      <c r="I1636" s="306">
        <v>1</v>
      </c>
      <c r="J1636" s="257"/>
      <c r="K1636" s="258"/>
      <c r="L1636" s="330" t="s">
        <v>1478</v>
      </c>
    </row>
    <row r="1637" spans="1:12">
      <c r="A1637" s="101"/>
      <c r="B1637" s="274"/>
      <c r="C1637" s="256"/>
      <c r="D1637" s="330"/>
      <c r="E1637" s="304"/>
      <c r="F1637" s="304" t="s">
        <v>1317</v>
      </c>
      <c r="G1637" s="330" t="s">
        <v>1223</v>
      </c>
      <c r="H1637" s="305" t="s">
        <v>2873</v>
      </c>
      <c r="I1637" s="306">
        <v>1</v>
      </c>
      <c r="J1637" s="257"/>
      <c r="K1637" s="258"/>
      <c r="L1637" s="330" t="s">
        <v>1593</v>
      </c>
    </row>
    <row r="1638" spans="1:12">
      <c r="A1638" s="101"/>
      <c r="B1638" s="274"/>
      <c r="C1638" s="256"/>
      <c r="D1638" s="330"/>
      <c r="E1638" s="304"/>
      <c r="F1638" s="197" t="s">
        <v>1317</v>
      </c>
      <c r="G1638" s="330" t="s">
        <v>1223</v>
      </c>
      <c r="H1638" s="256" t="s">
        <v>1623</v>
      </c>
      <c r="I1638" s="306">
        <v>8</v>
      </c>
      <c r="J1638" s="257"/>
      <c r="K1638" s="258"/>
      <c r="L1638" s="330" t="s">
        <v>1595</v>
      </c>
    </row>
    <row r="1639" spans="1:12">
      <c r="A1639" s="101"/>
      <c r="B1639" s="274"/>
      <c r="C1639" s="256"/>
      <c r="D1639" s="330"/>
      <c r="E1639" s="304"/>
      <c r="F1639" s="197" t="s">
        <v>1317</v>
      </c>
      <c r="G1639" s="330" t="s">
        <v>1199</v>
      </c>
      <c r="H1639" s="256" t="s">
        <v>2875</v>
      </c>
      <c r="I1639" s="306">
        <v>1</v>
      </c>
      <c r="J1639" s="257"/>
      <c r="K1639" s="258"/>
      <c r="L1639" s="330" t="s">
        <v>2876</v>
      </c>
    </row>
    <row r="1641" spans="1:12">
      <c r="A1641" s="290"/>
      <c r="B1641" s="348" t="s">
        <v>30</v>
      </c>
      <c r="C1641" s="349" t="s">
        <v>125</v>
      </c>
      <c r="D1641" s="349"/>
      <c r="E1641" s="411"/>
      <c r="F1641" s="350"/>
      <c r="G1641" s="348"/>
      <c r="H1641" s="349" t="s">
        <v>3428</v>
      </c>
      <c r="I1641" s="430">
        <v>4</v>
      </c>
      <c r="J1641" s="351"/>
      <c r="K1641" s="352"/>
      <c r="L1641" s="449" t="s">
        <v>1723</v>
      </c>
    </row>
    <row r="1642" spans="1:12" ht="28.5">
      <c r="A1642" s="290"/>
      <c r="B1642" s="348"/>
      <c r="C1642" s="296"/>
      <c r="D1642" s="301" t="s">
        <v>1722</v>
      </c>
      <c r="E1642" s="303" t="s">
        <v>1311</v>
      </c>
      <c r="F1642" s="297"/>
      <c r="G1642" s="298"/>
      <c r="H1642" s="307" t="s">
        <v>3430</v>
      </c>
      <c r="I1642" s="309">
        <v>1</v>
      </c>
      <c r="J1642" s="299"/>
      <c r="K1642" s="300"/>
      <c r="L1642" s="301" t="s">
        <v>1724</v>
      </c>
    </row>
    <row r="1643" spans="1:12">
      <c r="B1643" s="348"/>
      <c r="C1643" s="296"/>
      <c r="D1643" s="296" t="s">
        <v>2256</v>
      </c>
      <c r="E1643" s="303" t="s">
        <v>1302</v>
      </c>
      <c r="F1643" s="297"/>
      <c r="G1643" s="298"/>
      <c r="H1643" s="296"/>
      <c r="I1643" s="309">
        <v>1</v>
      </c>
      <c r="J1643" s="299"/>
      <c r="K1643" s="300"/>
      <c r="L1643" s="301" t="s">
        <v>2877</v>
      </c>
    </row>
    <row r="1644" spans="1:12">
      <c r="B1644" s="348"/>
      <c r="C1644" s="296"/>
      <c r="D1644" s="296"/>
      <c r="E1644" s="303"/>
      <c r="F1644" s="297" t="s">
        <v>1317</v>
      </c>
      <c r="G1644" s="298" t="s">
        <v>1199</v>
      </c>
      <c r="H1644" s="296" t="s">
        <v>2879</v>
      </c>
      <c r="I1644" s="309">
        <v>1</v>
      </c>
      <c r="J1644" s="299"/>
      <c r="K1644" s="300"/>
      <c r="L1644" s="301" t="s">
        <v>2878</v>
      </c>
    </row>
    <row r="1646" spans="1:12">
      <c r="A1646" s="290"/>
      <c r="B1646" s="348" t="s">
        <v>30</v>
      </c>
      <c r="C1646" s="349" t="s">
        <v>130</v>
      </c>
      <c r="D1646" s="349"/>
      <c r="E1646" s="411"/>
      <c r="F1646" s="350"/>
      <c r="G1646" s="348"/>
      <c r="H1646" s="349" t="s">
        <v>3428</v>
      </c>
      <c r="I1646" s="430">
        <v>4</v>
      </c>
      <c r="J1646" s="351"/>
      <c r="K1646" s="352"/>
      <c r="L1646" s="449" t="s">
        <v>1725</v>
      </c>
    </row>
    <row r="1647" spans="1:12" ht="28.5">
      <c r="A1647" s="290"/>
      <c r="B1647" s="348"/>
      <c r="C1647" s="296"/>
      <c r="D1647" s="301" t="s">
        <v>3159</v>
      </c>
      <c r="E1647" s="303" t="s">
        <v>1311</v>
      </c>
      <c r="F1647" s="312"/>
      <c r="G1647" s="301"/>
      <c r="H1647" s="302" t="s">
        <v>3158</v>
      </c>
      <c r="I1647" s="309">
        <v>1</v>
      </c>
      <c r="J1647" s="313"/>
      <c r="K1647" s="311"/>
      <c r="L1647" s="301" t="s">
        <v>1726</v>
      </c>
    </row>
    <row r="1648" spans="1:12">
      <c r="B1648" s="348"/>
      <c r="C1648" s="296"/>
      <c r="D1648" s="301" t="s">
        <v>2880</v>
      </c>
      <c r="E1648" s="303" t="s">
        <v>1302</v>
      </c>
      <c r="F1648" s="312"/>
      <c r="G1648" s="301"/>
      <c r="H1648" s="302"/>
      <c r="I1648" s="309">
        <v>1</v>
      </c>
      <c r="J1648" s="313"/>
      <c r="K1648" s="311"/>
      <c r="L1648" s="301" t="s">
        <v>2881</v>
      </c>
    </row>
    <row r="1649" spans="1:12">
      <c r="B1649" s="348"/>
      <c r="C1649" s="296"/>
      <c r="D1649" s="301"/>
      <c r="E1649" s="303"/>
      <c r="F1649" s="312" t="s">
        <v>1317</v>
      </c>
      <c r="G1649" s="301" t="s">
        <v>1199</v>
      </c>
      <c r="H1649" s="302" t="s">
        <v>2883</v>
      </c>
      <c r="I1649" s="309">
        <v>1</v>
      </c>
      <c r="J1649" s="313"/>
      <c r="K1649" s="311"/>
      <c r="L1649" s="301" t="s">
        <v>2882</v>
      </c>
    </row>
    <row r="1651" spans="1:12">
      <c r="A1651" s="290"/>
      <c r="B1651" s="348" t="s">
        <v>30</v>
      </c>
      <c r="C1651" s="349" t="s">
        <v>127</v>
      </c>
      <c r="D1651" s="349"/>
      <c r="E1651" s="411"/>
      <c r="F1651" s="350"/>
      <c r="G1651" s="348"/>
      <c r="H1651" s="349" t="s">
        <v>3428</v>
      </c>
      <c r="I1651" s="430">
        <v>2</v>
      </c>
      <c r="J1651" s="351"/>
      <c r="K1651" s="352"/>
      <c r="L1651" s="449" t="s">
        <v>1738</v>
      </c>
    </row>
    <row r="1652" spans="1:12" ht="28.5">
      <c r="A1652" s="290"/>
      <c r="B1652" s="348"/>
      <c r="C1652" s="296"/>
      <c r="D1652" s="301" t="s">
        <v>1737</v>
      </c>
      <c r="E1652" s="303" t="s">
        <v>1311</v>
      </c>
      <c r="F1652" s="303"/>
      <c r="G1652" s="308"/>
      <c r="H1652" s="302" t="s">
        <v>2885</v>
      </c>
      <c r="I1652" s="309">
        <v>1</v>
      </c>
      <c r="J1652" s="310"/>
      <c r="K1652" s="311"/>
      <c r="L1652" s="301" t="s">
        <v>1739</v>
      </c>
    </row>
    <row r="1653" spans="1:12">
      <c r="B1653" s="348"/>
      <c r="C1653" s="296"/>
      <c r="D1653" s="301" t="s">
        <v>1740</v>
      </c>
      <c r="E1653" s="303" t="s">
        <v>1311</v>
      </c>
      <c r="F1653" s="303"/>
      <c r="G1653" s="308"/>
      <c r="H1653" s="302" t="s">
        <v>2884</v>
      </c>
      <c r="I1653" s="309">
        <v>2</v>
      </c>
      <c r="J1653" s="310"/>
      <c r="K1653" s="311"/>
      <c r="L1653" s="301" t="s">
        <v>1741</v>
      </c>
    </row>
    <row r="1654" spans="1:12">
      <c r="B1654" s="348"/>
      <c r="C1654" s="296"/>
      <c r="D1654" s="301" t="s">
        <v>2256</v>
      </c>
      <c r="E1654" s="303" t="s">
        <v>1302</v>
      </c>
      <c r="F1654" s="303"/>
      <c r="G1654" s="308"/>
      <c r="H1654" s="302"/>
      <c r="I1654" s="309">
        <v>2</v>
      </c>
      <c r="J1654" s="310"/>
      <c r="K1654" s="311"/>
      <c r="L1654" s="301" t="s">
        <v>2886</v>
      </c>
    </row>
    <row r="1655" spans="1:12">
      <c r="B1655" s="348"/>
      <c r="C1655" s="296"/>
      <c r="D1655" s="301"/>
      <c r="E1655" s="303"/>
      <c r="F1655" s="303" t="s">
        <v>1317</v>
      </c>
      <c r="G1655" s="308" t="s">
        <v>1199</v>
      </c>
      <c r="H1655" s="302" t="s">
        <v>2888</v>
      </c>
      <c r="I1655" s="309">
        <v>1</v>
      </c>
      <c r="J1655" s="310"/>
      <c r="K1655" s="311"/>
      <c r="L1655" s="301" t="s">
        <v>2887</v>
      </c>
    </row>
    <row r="1656" spans="1:12">
      <c r="B1656" s="348"/>
      <c r="C1656" s="296"/>
      <c r="D1656" s="301"/>
      <c r="E1656" s="303"/>
      <c r="F1656" s="303" t="s">
        <v>1317</v>
      </c>
      <c r="G1656" s="308" t="s">
        <v>1199</v>
      </c>
      <c r="H1656" s="302" t="s">
        <v>2889</v>
      </c>
      <c r="I1656" s="309">
        <v>2</v>
      </c>
      <c r="J1656" s="310"/>
      <c r="K1656" s="311"/>
      <c r="L1656" s="301" t="s">
        <v>2890</v>
      </c>
    </row>
    <row r="1658" spans="1:12">
      <c r="A1658" s="290"/>
      <c r="B1658" s="348" t="s">
        <v>30</v>
      </c>
      <c r="C1658" s="349" t="s">
        <v>2306</v>
      </c>
      <c r="D1658" s="349"/>
      <c r="E1658" s="411"/>
      <c r="F1658" s="350"/>
      <c r="G1658" s="348"/>
      <c r="H1658" s="349" t="s">
        <v>3428</v>
      </c>
      <c r="I1658" s="430">
        <v>2</v>
      </c>
      <c r="J1658" s="351"/>
      <c r="K1658" s="352"/>
      <c r="L1658" s="449" t="s">
        <v>2307</v>
      </c>
    </row>
    <row r="1659" spans="1:12" ht="28.5">
      <c r="A1659" s="290"/>
      <c r="B1659" s="348"/>
      <c r="C1659" s="296"/>
      <c r="D1659" s="307" t="s">
        <v>2309</v>
      </c>
      <c r="E1659" s="303" t="s">
        <v>1302</v>
      </c>
      <c r="F1659" s="297"/>
      <c r="G1659" s="298"/>
      <c r="H1659" s="296"/>
      <c r="I1659" s="309">
        <v>1</v>
      </c>
      <c r="J1659" s="299"/>
      <c r="K1659" s="300"/>
      <c r="L1659" s="301" t="s">
        <v>2308</v>
      </c>
    </row>
    <row r="1660" spans="1:12">
      <c r="A1660" s="290"/>
      <c r="B1660" s="348"/>
      <c r="C1660" s="296"/>
      <c r="D1660" s="307"/>
      <c r="E1660" s="303"/>
      <c r="F1660" s="297" t="s">
        <v>1317</v>
      </c>
      <c r="G1660" s="298" t="s">
        <v>1157</v>
      </c>
      <c r="H1660" s="296" t="s">
        <v>1471</v>
      </c>
      <c r="I1660" s="309">
        <v>1</v>
      </c>
      <c r="J1660" s="299"/>
      <c r="K1660" s="300"/>
      <c r="L1660" s="301" t="s">
        <v>2310</v>
      </c>
    </row>
    <row r="1661" spans="1:12">
      <c r="A1661" s="290"/>
      <c r="B1661" s="348"/>
      <c r="C1661" s="296"/>
      <c r="D1661" s="307"/>
      <c r="E1661" s="303"/>
      <c r="F1661" s="297" t="s">
        <v>1317</v>
      </c>
      <c r="G1661" s="298" t="s">
        <v>1157</v>
      </c>
      <c r="H1661" s="296" t="s">
        <v>1339</v>
      </c>
      <c r="I1661" s="309">
        <v>1</v>
      </c>
      <c r="J1661" s="299"/>
      <c r="K1661" s="300"/>
      <c r="L1661" s="301" t="s">
        <v>2311</v>
      </c>
    </row>
    <row r="1662" spans="1:12">
      <c r="A1662" s="290"/>
      <c r="B1662" s="348"/>
      <c r="C1662" s="296"/>
      <c r="D1662" s="307"/>
      <c r="E1662" s="303"/>
      <c r="F1662" s="297" t="s">
        <v>1317</v>
      </c>
      <c r="G1662" s="298" t="s">
        <v>1223</v>
      </c>
      <c r="H1662" s="296" t="s">
        <v>2312</v>
      </c>
      <c r="I1662" s="309">
        <v>1</v>
      </c>
      <c r="J1662" s="299"/>
      <c r="K1662" s="300"/>
      <c r="L1662" s="301" t="s">
        <v>2313</v>
      </c>
    </row>
    <row r="1663" spans="1:12">
      <c r="A1663" s="290"/>
      <c r="B1663" s="348"/>
      <c r="C1663" s="296"/>
      <c r="D1663" s="307"/>
      <c r="E1663" s="303"/>
      <c r="F1663" s="297" t="s">
        <v>1317</v>
      </c>
      <c r="G1663" s="298" t="s">
        <v>1199</v>
      </c>
      <c r="H1663" s="296" t="s">
        <v>2900</v>
      </c>
      <c r="I1663" s="309">
        <v>1</v>
      </c>
      <c r="J1663" s="299"/>
      <c r="K1663" s="300"/>
      <c r="L1663" s="301" t="s">
        <v>2897</v>
      </c>
    </row>
    <row r="1664" spans="1:12">
      <c r="B1664" s="348"/>
      <c r="C1664" s="296"/>
      <c r="D1664" s="307" t="s">
        <v>2314</v>
      </c>
      <c r="E1664" s="303" t="s">
        <v>1302</v>
      </c>
      <c r="F1664" s="297"/>
      <c r="G1664" s="298"/>
      <c r="H1664" s="296"/>
      <c r="I1664" s="309">
        <v>1</v>
      </c>
      <c r="J1664" s="299"/>
      <c r="K1664" s="300"/>
      <c r="L1664" s="301" t="s">
        <v>2315</v>
      </c>
    </row>
    <row r="1665" spans="1:12">
      <c r="B1665" s="348"/>
      <c r="C1665" s="296"/>
      <c r="D1665" s="307"/>
      <c r="E1665" s="303"/>
      <c r="F1665" s="297" t="s">
        <v>1317</v>
      </c>
      <c r="G1665" s="298" t="s">
        <v>1157</v>
      </c>
      <c r="H1665" s="296" t="s">
        <v>1471</v>
      </c>
      <c r="I1665" s="309">
        <v>1</v>
      </c>
      <c r="J1665" s="299"/>
      <c r="K1665" s="300"/>
      <c r="L1665" s="301" t="s">
        <v>2316</v>
      </c>
    </row>
    <row r="1666" spans="1:12">
      <c r="B1666" s="348"/>
      <c r="C1666" s="296"/>
      <c r="D1666" s="307"/>
      <c r="E1666" s="303"/>
      <c r="F1666" s="297" t="s">
        <v>1317</v>
      </c>
      <c r="G1666" s="298" t="s">
        <v>1157</v>
      </c>
      <c r="H1666" s="296" t="s">
        <v>1339</v>
      </c>
      <c r="I1666" s="309">
        <v>1</v>
      </c>
      <c r="J1666" s="299"/>
      <c r="K1666" s="300"/>
      <c r="L1666" s="301" t="s">
        <v>2317</v>
      </c>
    </row>
    <row r="1667" spans="1:12">
      <c r="B1667" s="348"/>
      <c r="C1667" s="296"/>
      <c r="D1667" s="307"/>
      <c r="E1667" s="303"/>
      <c r="F1667" s="297" t="s">
        <v>1317</v>
      </c>
      <c r="G1667" s="298" t="s">
        <v>1223</v>
      </c>
      <c r="H1667" s="296" t="s">
        <v>3288</v>
      </c>
      <c r="I1667" s="309">
        <v>1</v>
      </c>
      <c r="J1667" s="299"/>
      <c r="K1667" s="300"/>
      <c r="L1667" s="301" t="s">
        <v>2318</v>
      </c>
    </row>
    <row r="1668" spans="1:12">
      <c r="B1668" s="348"/>
      <c r="C1668" s="296"/>
      <c r="D1668" s="307"/>
      <c r="E1668" s="303"/>
      <c r="F1668" s="297" t="s">
        <v>1317</v>
      </c>
      <c r="G1668" s="298" t="s">
        <v>1199</v>
      </c>
      <c r="H1668" s="296" t="s">
        <v>2899</v>
      </c>
      <c r="I1668" s="309">
        <v>1</v>
      </c>
      <c r="J1668" s="299"/>
      <c r="K1668" s="300"/>
      <c r="L1668" s="301" t="s">
        <v>2898</v>
      </c>
    </row>
    <row r="1669" spans="1:12">
      <c r="B1669" s="348"/>
      <c r="C1669" s="296"/>
      <c r="D1669" s="307" t="s">
        <v>2319</v>
      </c>
      <c r="E1669" s="303" t="s">
        <v>1311</v>
      </c>
      <c r="F1669" s="297"/>
      <c r="G1669" s="298"/>
      <c r="H1669" s="296"/>
      <c r="I1669" s="309">
        <v>4</v>
      </c>
      <c r="J1669" s="299"/>
      <c r="K1669" s="300"/>
      <c r="L1669" s="301" t="s">
        <v>2320</v>
      </c>
    </row>
    <row r="1670" spans="1:12">
      <c r="B1670" s="348"/>
      <c r="C1670" s="296"/>
      <c r="D1670" s="307" t="s">
        <v>2901</v>
      </c>
      <c r="E1670" s="303" t="s">
        <v>1302</v>
      </c>
      <c r="F1670" s="297"/>
      <c r="G1670" s="298"/>
      <c r="H1670" s="296"/>
      <c r="I1670" s="309">
        <v>4</v>
      </c>
      <c r="J1670" s="299"/>
      <c r="K1670" s="300"/>
      <c r="L1670" s="301" t="s">
        <v>2902</v>
      </c>
    </row>
    <row r="1671" spans="1:12">
      <c r="B1671" s="348"/>
      <c r="C1671" s="296"/>
      <c r="D1671" s="307"/>
      <c r="E1671" s="303"/>
      <c r="F1671" s="297" t="s">
        <v>1317</v>
      </c>
      <c r="G1671" s="298" t="s">
        <v>1199</v>
      </c>
      <c r="H1671" s="296" t="s">
        <v>2903</v>
      </c>
      <c r="I1671" s="309">
        <v>1</v>
      </c>
      <c r="J1671" s="299"/>
      <c r="K1671" s="300"/>
      <c r="L1671" s="301" t="s">
        <v>2904</v>
      </c>
    </row>
    <row r="1672" spans="1:12">
      <c r="B1672" s="348"/>
      <c r="C1672" s="296"/>
      <c r="D1672" s="307"/>
      <c r="E1672" s="303"/>
      <c r="F1672" s="297" t="s">
        <v>1309</v>
      </c>
      <c r="G1672" s="298" t="s">
        <v>1228</v>
      </c>
      <c r="H1672" s="296" t="s">
        <v>2908</v>
      </c>
      <c r="I1672" s="309">
        <v>1</v>
      </c>
      <c r="J1672" s="299"/>
      <c r="K1672" s="300"/>
      <c r="L1672" s="301" t="s">
        <v>2909</v>
      </c>
    </row>
    <row r="1673" spans="1:12">
      <c r="B1673" s="348"/>
      <c r="C1673" s="296"/>
      <c r="D1673" s="307"/>
      <c r="E1673" s="303"/>
      <c r="F1673" s="297" t="s">
        <v>1309</v>
      </c>
      <c r="G1673" s="298" t="s">
        <v>1230</v>
      </c>
      <c r="H1673" s="296" t="s">
        <v>2910</v>
      </c>
      <c r="I1673" s="309">
        <v>1</v>
      </c>
      <c r="J1673" s="299"/>
      <c r="K1673" s="300"/>
      <c r="L1673" s="301" t="s">
        <v>2911</v>
      </c>
    </row>
    <row r="1674" spans="1:12">
      <c r="B1674" s="348"/>
      <c r="C1674" s="296"/>
      <c r="D1674" s="307"/>
      <c r="E1674" s="303"/>
      <c r="F1674" s="297" t="s">
        <v>1317</v>
      </c>
      <c r="G1674" s="298" t="s">
        <v>1210</v>
      </c>
      <c r="H1674" s="296"/>
      <c r="I1674" s="309">
        <v>2</v>
      </c>
      <c r="J1674" s="299"/>
      <c r="K1674" s="300"/>
      <c r="L1674" s="301" t="s">
        <v>2912</v>
      </c>
    </row>
    <row r="1675" spans="1:12">
      <c r="B1675" s="348"/>
      <c r="C1675" s="296"/>
      <c r="D1675" s="307"/>
      <c r="E1675" s="303"/>
      <c r="F1675" s="297" t="s">
        <v>1317</v>
      </c>
      <c r="G1675" s="298" t="s">
        <v>1200</v>
      </c>
      <c r="H1675" s="296"/>
      <c r="I1675" s="309">
        <v>3</v>
      </c>
      <c r="J1675" s="299"/>
      <c r="K1675" s="300"/>
      <c r="L1675" s="301" t="s">
        <v>3153</v>
      </c>
    </row>
    <row r="1677" spans="1:12">
      <c r="A1677" s="290"/>
      <c r="B1677" s="348" t="s">
        <v>30</v>
      </c>
      <c r="C1677" s="349" t="s">
        <v>123</v>
      </c>
      <c r="D1677" s="349"/>
      <c r="E1677" s="411"/>
      <c r="F1677" s="350"/>
      <c r="G1677" s="348"/>
      <c r="H1677" s="349"/>
      <c r="I1677" s="430">
        <v>16</v>
      </c>
      <c r="J1677" s="351"/>
      <c r="K1677" s="352"/>
      <c r="L1677" s="449" t="s">
        <v>2321</v>
      </c>
    </row>
    <row r="1678" spans="1:12">
      <c r="A1678" s="290"/>
      <c r="B1678" s="348"/>
      <c r="C1678" s="296"/>
      <c r="D1678" s="296" t="s">
        <v>123</v>
      </c>
      <c r="E1678" s="303" t="s">
        <v>1302</v>
      </c>
      <c r="F1678" s="297"/>
      <c r="G1678" s="298"/>
      <c r="H1678" s="296"/>
      <c r="I1678" s="309">
        <v>1</v>
      </c>
      <c r="J1678" s="299"/>
      <c r="K1678" s="300"/>
      <c r="L1678" s="301" t="s">
        <v>2322</v>
      </c>
    </row>
    <row r="1679" spans="1:12">
      <c r="A1679" s="290"/>
      <c r="B1679" s="348"/>
      <c r="C1679" s="296"/>
      <c r="D1679" s="296"/>
      <c r="E1679" s="303"/>
      <c r="F1679" s="297" t="s">
        <v>1317</v>
      </c>
      <c r="G1679" s="298" t="s">
        <v>1157</v>
      </c>
      <c r="H1679" s="296" t="s">
        <v>1339</v>
      </c>
      <c r="I1679" s="309">
        <v>1</v>
      </c>
      <c r="J1679" s="299"/>
      <c r="K1679" s="300"/>
      <c r="L1679" s="301" t="s">
        <v>2323</v>
      </c>
    </row>
    <row r="1680" spans="1:12">
      <c r="A1680" s="290"/>
      <c r="B1680" s="348"/>
      <c r="C1680" s="296"/>
      <c r="D1680" s="296"/>
      <c r="E1680" s="303"/>
      <c r="F1680" s="297" t="s">
        <v>1317</v>
      </c>
      <c r="G1680" s="298" t="s">
        <v>1223</v>
      </c>
      <c r="H1680" s="296" t="s">
        <v>1623</v>
      </c>
      <c r="I1680" s="309">
        <v>1</v>
      </c>
      <c r="J1680" s="299"/>
      <c r="K1680" s="300"/>
      <c r="L1680" s="301" t="s">
        <v>2324</v>
      </c>
    </row>
    <row r="1681" spans="1:12">
      <c r="A1681" s="290"/>
      <c r="B1681" s="348"/>
      <c r="C1681" s="296"/>
      <c r="D1681" s="296"/>
      <c r="E1681" s="303"/>
      <c r="F1681" s="297" t="s">
        <v>1317</v>
      </c>
      <c r="G1681" s="298" t="s">
        <v>1199</v>
      </c>
      <c r="H1681" s="296" t="s">
        <v>3003</v>
      </c>
      <c r="I1681" s="309">
        <v>1</v>
      </c>
      <c r="J1681" s="299"/>
      <c r="K1681" s="300"/>
      <c r="L1681" s="301" t="s">
        <v>2891</v>
      </c>
    </row>
    <row r="1683" spans="1:12">
      <c r="A1683" s="290"/>
      <c r="B1683" s="348" t="s">
        <v>30</v>
      </c>
      <c r="C1683" s="349" t="s">
        <v>126</v>
      </c>
      <c r="D1683" s="349"/>
      <c r="E1683" s="411"/>
      <c r="F1683" s="350"/>
      <c r="G1683" s="348"/>
      <c r="H1683" s="349" t="s">
        <v>3428</v>
      </c>
      <c r="I1683" s="430">
        <v>4</v>
      </c>
      <c r="J1683" s="351"/>
      <c r="K1683" s="352"/>
      <c r="L1683" s="449" t="s">
        <v>2326</v>
      </c>
    </row>
    <row r="1684" spans="1:12">
      <c r="A1684" s="290"/>
      <c r="B1684" s="348"/>
      <c r="C1684" s="296"/>
      <c r="D1684" s="296" t="s">
        <v>126</v>
      </c>
      <c r="E1684" s="303" t="s">
        <v>1311</v>
      </c>
      <c r="F1684" s="297"/>
      <c r="G1684" s="298"/>
      <c r="H1684" s="296" t="s">
        <v>2325</v>
      </c>
      <c r="I1684" s="309">
        <v>1</v>
      </c>
      <c r="J1684" s="299"/>
      <c r="K1684" s="300"/>
      <c r="L1684" s="301" t="s">
        <v>2327</v>
      </c>
    </row>
    <row r="1685" spans="1:12">
      <c r="B1685" s="348"/>
      <c r="C1685" s="296"/>
      <c r="D1685" s="296" t="s">
        <v>2256</v>
      </c>
      <c r="E1685" s="303" t="s">
        <v>1302</v>
      </c>
      <c r="F1685" s="297"/>
      <c r="G1685" s="298"/>
      <c r="H1685" s="296"/>
      <c r="I1685" s="309">
        <v>1</v>
      </c>
      <c r="J1685" s="299"/>
      <c r="K1685" s="300"/>
      <c r="L1685" s="301" t="s">
        <v>2892</v>
      </c>
    </row>
    <row r="1686" spans="1:12">
      <c r="B1686" s="348"/>
      <c r="C1686" s="296"/>
      <c r="D1686" s="296"/>
      <c r="E1686" s="303"/>
      <c r="F1686" s="297" t="s">
        <v>1317</v>
      </c>
      <c r="G1686" s="298" t="s">
        <v>1199</v>
      </c>
      <c r="H1686" s="296" t="s">
        <v>2896</v>
      </c>
      <c r="I1686" s="309">
        <v>1</v>
      </c>
      <c r="J1686" s="299"/>
      <c r="K1686" s="300"/>
      <c r="L1686" s="301" t="s">
        <v>2894</v>
      </c>
    </row>
    <row r="1688" spans="1:12">
      <c r="A1688" s="290"/>
      <c r="B1688" s="348" t="s">
        <v>30</v>
      </c>
      <c r="C1688" s="349" t="s">
        <v>128</v>
      </c>
      <c r="D1688" s="349"/>
      <c r="E1688" s="411"/>
      <c r="F1688" s="350"/>
      <c r="G1688" s="348"/>
      <c r="H1688" s="349" t="s">
        <v>3428</v>
      </c>
      <c r="I1688" s="430">
        <v>16</v>
      </c>
      <c r="J1688" s="351"/>
      <c r="K1688" s="352"/>
      <c r="L1688" s="449" t="s">
        <v>2329</v>
      </c>
    </row>
    <row r="1689" spans="1:12">
      <c r="A1689" s="290"/>
      <c r="B1689" s="348"/>
      <c r="C1689" s="296"/>
      <c r="D1689" s="296" t="s">
        <v>2328</v>
      </c>
      <c r="E1689" s="303" t="s">
        <v>1311</v>
      </c>
      <c r="F1689" s="297"/>
      <c r="G1689" s="298"/>
      <c r="H1689" s="296" t="s">
        <v>3431</v>
      </c>
      <c r="I1689" s="309">
        <v>1</v>
      </c>
      <c r="J1689" s="299"/>
      <c r="K1689" s="300"/>
      <c r="L1689" s="301" t="s">
        <v>2330</v>
      </c>
    </row>
    <row r="1690" spans="1:12">
      <c r="B1690" s="348"/>
      <c r="C1690" s="296"/>
      <c r="D1690" s="296" t="s">
        <v>2256</v>
      </c>
      <c r="E1690" s="303" t="s">
        <v>1302</v>
      </c>
      <c r="F1690" s="297"/>
      <c r="G1690" s="298"/>
      <c r="H1690" s="296"/>
      <c r="I1690" s="309">
        <v>1</v>
      </c>
      <c r="J1690" s="299"/>
      <c r="K1690" s="300"/>
      <c r="L1690" s="301" t="s">
        <v>2893</v>
      </c>
    </row>
    <row r="1691" spans="1:12">
      <c r="B1691" s="348"/>
      <c r="C1691" s="296"/>
      <c r="D1691" s="296"/>
      <c r="E1691" s="303"/>
      <c r="F1691" s="297" t="s">
        <v>1317</v>
      </c>
      <c r="G1691" s="298" t="s">
        <v>1199</v>
      </c>
      <c r="H1691" s="296" t="s">
        <v>2905</v>
      </c>
      <c r="I1691" s="309">
        <v>1</v>
      </c>
      <c r="J1691" s="299"/>
      <c r="K1691" s="300"/>
      <c r="L1691" s="301" t="s">
        <v>2895</v>
      </c>
    </row>
    <row r="1693" spans="1:12">
      <c r="A1693" s="186" t="s">
        <v>39</v>
      </c>
      <c r="B1693" s="186"/>
      <c r="C1693" s="186"/>
      <c r="D1693" s="338"/>
      <c r="E1693" s="412"/>
      <c r="F1693" s="188"/>
      <c r="G1693" s="338"/>
      <c r="H1693" s="187" t="s">
        <v>1247</v>
      </c>
      <c r="I1693" s="431">
        <v>1</v>
      </c>
      <c r="J1693" s="189">
        <v>0</v>
      </c>
      <c r="K1693" s="189"/>
      <c r="L1693" s="338"/>
    </row>
  </sheetData>
  <sheetProtection formatCells="0" insertRows="0" deleteRows="0" sort="0" autoFilter="0" pivotTables="0"/>
  <pageMargins left="0.25" right="0.25" top="0.75" bottom="0.75" header="0.3" footer="0.3"/>
  <pageSetup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114300</xdr:colOff>
                    <xdr:row>0</xdr:row>
                    <xdr:rowOff>76200</xdr:rowOff>
                  </from>
                  <to>
                    <xdr:col>2</xdr:col>
                    <xdr:colOff>619125</xdr:colOff>
                    <xdr:row>1</xdr:row>
                    <xdr:rowOff>85725</xdr:rowOff>
                  </to>
                </anchor>
              </controlPr>
            </control>
          </mc:Choice>
        </mc:AlternateContent>
        <mc:AlternateContent xmlns:mc="http://schemas.openxmlformats.org/markup-compatibility/2006">
          <mc:Choice Requires="x14">
            <control shapeId="1026" r:id="rId5" name="Button 2">
              <controlPr defaultSize="0" print="0" autoFill="0" autoPict="0" macro="[0]!AddMPTF">
                <anchor moveWithCells="1">
                  <from>
                    <xdr:col>4</xdr:col>
                    <xdr:colOff>66675</xdr:colOff>
                    <xdr:row>0</xdr:row>
                    <xdr:rowOff>76200</xdr:rowOff>
                  </from>
                  <to>
                    <xdr:col>6</xdr:col>
                    <xdr:colOff>409575</xdr:colOff>
                    <xdr:row>1</xdr:row>
                    <xdr:rowOff>95250</xdr:rowOff>
                  </to>
                </anchor>
              </controlPr>
            </control>
          </mc:Choice>
        </mc:AlternateContent>
        <mc:AlternateContent xmlns:mc="http://schemas.openxmlformats.org/markup-compatibility/2006">
          <mc:Choice Requires="x14">
            <control shapeId="1053" r:id="rId6" name="Button 29">
              <controlPr defaultSize="0" print="0" autoFill="0" autoPict="0" macro="[0]!PDFExport">
                <anchor moveWithCells="1" sizeWithCells="1">
                  <from>
                    <xdr:col>11</xdr:col>
                    <xdr:colOff>0</xdr:colOff>
                    <xdr:row>0</xdr:row>
                    <xdr:rowOff>66675</xdr:rowOff>
                  </from>
                  <to>
                    <xdr:col>12</xdr:col>
                    <xdr:colOff>200025</xdr:colOff>
                    <xdr:row>1</xdr:row>
                    <xdr:rowOff>76200</xdr:rowOff>
                  </to>
                </anchor>
              </controlPr>
            </control>
          </mc:Choice>
        </mc:AlternateContent>
        <mc:AlternateContent xmlns:mc="http://schemas.openxmlformats.org/markup-compatibility/2006">
          <mc:Choice Requires="x14">
            <control shapeId="1057" r:id="rId7" name="Button 33">
              <controlPr defaultSize="0" print="0" autoFill="0" autoPict="0" macro="[0]!DeletePart">
                <anchor moveWithCells="1" sizeWithCells="1">
                  <from>
                    <xdr:col>7</xdr:col>
                    <xdr:colOff>76200</xdr:colOff>
                    <xdr:row>0</xdr:row>
                    <xdr:rowOff>66675</xdr:rowOff>
                  </from>
                  <to>
                    <xdr:col>7</xdr:col>
                    <xdr:colOff>1552575</xdr:colOff>
                    <xdr:row>1</xdr:row>
                    <xdr:rowOff>76200</xdr:rowOff>
                  </to>
                </anchor>
              </controlPr>
            </control>
          </mc:Choice>
        </mc:AlternateContent>
        <mc:AlternateContent xmlns:mc="http://schemas.openxmlformats.org/markup-compatibility/2006">
          <mc:Choice Requires="x14">
            <control shapeId="1058" r:id="rId8" name="Button 34">
              <controlPr defaultSize="0" print="0" autoFill="0" autoPict="0" macro="[0]!NewPart">
                <anchor moveWithCells="1">
                  <from>
                    <xdr:col>3</xdr:col>
                    <xdr:colOff>0</xdr:colOff>
                    <xdr:row>0</xdr:row>
                    <xdr:rowOff>76200</xdr:rowOff>
                  </from>
                  <to>
                    <xdr:col>3</xdr:col>
                    <xdr:colOff>1181100</xdr:colOff>
                    <xdr:row>1</xdr:row>
                    <xdr:rowOff>95250</xdr:rowOff>
                  </to>
                </anchor>
              </controlPr>
            </control>
          </mc:Choice>
        </mc:AlternateContent>
        <mc:AlternateContent xmlns:mc="http://schemas.openxmlformats.org/markup-compatibility/2006">
          <mc:Choice Requires="x14">
            <control shapeId="1059" r:id="rId9" name="Button 35">
              <controlPr defaultSize="0" print="0" autoFill="0" autoPict="0" macro="[0]!logistic">
                <anchor moveWithCells="1" sizeWithCells="1">
                  <from>
                    <xdr:col>9</xdr:col>
                    <xdr:colOff>228600</xdr:colOff>
                    <xdr:row>0</xdr:row>
                    <xdr:rowOff>66675</xdr:rowOff>
                  </from>
                  <to>
                    <xdr:col>10</xdr:col>
                    <xdr:colOff>476250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P47"/>
  <sheetViews>
    <sheetView showGridLines="0" workbookViewId="0">
      <selection activeCell="C39" sqref="C39"/>
    </sheetView>
  </sheetViews>
  <sheetFormatPr defaultColWidth="0" defaultRowHeight="14.25"/>
  <cols>
    <col min="1" max="1" width="9.140625" style="137" customWidth="1"/>
    <col min="2" max="2" width="9.140625" style="138" customWidth="1"/>
    <col min="3" max="11" width="9.140625" style="139" customWidth="1"/>
    <col min="12" max="16" width="0" style="139" hidden="1" customWidth="1"/>
    <col min="17" max="16384" width="9.140625" style="139" hidden="1"/>
  </cols>
  <sheetData>
    <row r="1" spans="1:11" ht="27">
      <c r="B1" s="468" t="s">
        <v>1265</v>
      </c>
      <c r="C1" s="468"/>
      <c r="D1" s="468"/>
      <c r="E1" s="468"/>
      <c r="F1" s="468"/>
      <c r="G1" s="468"/>
      <c r="H1" s="468"/>
      <c r="I1" s="468"/>
      <c r="J1" s="468"/>
    </row>
    <row r="3" spans="1:11" ht="15">
      <c r="A3" s="147">
        <v>1</v>
      </c>
      <c r="B3" s="467" t="s">
        <v>1278</v>
      </c>
      <c r="C3" s="467"/>
      <c r="D3" s="467"/>
      <c r="E3" s="467"/>
      <c r="F3" s="467"/>
      <c r="G3" s="467"/>
      <c r="H3" s="467"/>
      <c r="I3" s="467"/>
      <c r="J3" s="467"/>
    </row>
    <row r="4" spans="1:11" ht="15">
      <c r="A4" s="147">
        <v>2</v>
      </c>
      <c r="B4" s="467" t="s">
        <v>1263</v>
      </c>
      <c r="C4" s="467"/>
      <c r="D4" s="467"/>
      <c r="E4" s="467"/>
      <c r="F4" s="467"/>
      <c r="G4" s="467"/>
      <c r="H4" s="467"/>
      <c r="I4" s="467"/>
      <c r="J4" s="467"/>
    </row>
    <row r="5" spans="1:11" ht="15">
      <c r="A5" s="147">
        <v>3</v>
      </c>
      <c r="B5" s="467" t="s">
        <v>1264</v>
      </c>
      <c r="C5" s="467"/>
      <c r="D5" s="467"/>
      <c r="E5" s="467"/>
      <c r="F5" s="467"/>
      <c r="G5" s="467"/>
      <c r="H5" s="467"/>
      <c r="I5" s="467"/>
      <c r="J5" s="467"/>
    </row>
    <row r="6" spans="1:11" ht="15">
      <c r="A6" s="147">
        <v>4</v>
      </c>
      <c r="B6" s="467" t="s">
        <v>1267</v>
      </c>
      <c r="C6" s="467"/>
      <c r="D6" s="467"/>
      <c r="E6" s="467"/>
      <c r="F6" s="467"/>
      <c r="G6" s="467"/>
      <c r="H6" s="467"/>
      <c r="I6" s="467"/>
      <c r="J6" s="467"/>
    </row>
    <row r="7" spans="1:11" ht="15">
      <c r="A7" s="147">
        <v>5</v>
      </c>
      <c r="B7" s="467" t="s">
        <v>1266</v>
      </c>
      <c r="C7" s="467"/>
      <c r="D7" s="467"/>
      <c r="E7" s="467"/>
      <c r="F7" s="467"/>
      <c r="G7" s="467"/>
      <c r="H7" s="467"/>
      <c r="I7" s="467"/>
      <c r="J7" s="467"/>
    </row>
    <row r="8" spans="1:11" ht="15">
      <c r="A8" s="140">
        <v>6</v>
      </c>
      <c r="B8" s="467" t="s">
        <v>1268</v>
      </c>
      <c r="C8" s="467"/>
      <c r="D8" s="467"/>
      <c r="E8" s="467"/>
      <c r="F8" s="467"/>
      <c r="G8" s="467"/>
      <c r="H8" s="467"/>
      <c r="I8" s="467"/>
      <c r="J8" s="467"/>
    </row>
    <row r="9" spans="1:11" ht="15">
      <c r="A9" s="140">
        <v>7</v>
      </c>
      <c r="B9" s="467" t="s">
        <v>1298</v>
      </c>
      <c r="C9" s="467"/>
      <c r="D9" s="467"/>
      <c r="E9" s="467"/>
      <c r="F9" s="467"/>
      <c r="G9" s="467"/>
      <c r="H9" s="467"/>
      <c r="I9" s="467"/>
      <c r="J9" s="467"/>
    </row>
    <row r="10" spans="1:11" s="145" customFormat="1" ht="15">
      <c r="A10" s="153"/>
      <c r="B10" s="154"/>
      <c r="C10" s="154"/>
      <c r="D10" s="154"/>
      <c r="E10" s="154"/>
      <c r="F10" s="154"/>
      <c r="G10" s="154"/>
      <c r="H10" s="154"/>
      <c r="I10" s="154"/>
      <c r="J10" s="154"/>
    </row>
    <row r="11" spans="1:11" ht="15">
      <c r="A11" s="467" t="s">
        <v>1294</v>
      </c>
      <c r="B11" s="467"/>
      <c r="C11" s="467"/>
      <c r="D11" s="467"/>
      <c r="E11" s="467"/>
      <c r="F11" s="467"/>
      <c r="G11" s="467"/>
      <c r="H11" s="467"/>
      <c r="I11" s="467"/>
      <c r="J11" s="467"/>
      <c r="K11" s="467"/>
    </row>
    <row r="13" spans="1:11" ht="15">
      <c r="A13" s="142" t="s">
        <v>1248</v>
      </c>
      <c r="B13" s="143"/>
      <c r="C13" s="143"/>
      <c r="D13" s="143"/>
      <c r="E13" s="143"/>
      <c r="F13" s="143"/>
      <c r="G13" s="143"/>
      <c r="H13" s="143"/>
      <c r="I13" s="143"/>
      <c r="J13" s="143"/>
    </row>
    <row r="14" spans="1:11" ht="15">
      <c r="B14" s="138">
        <v>1</v>
      </c>
      <c r="C14" s="141" t="s">
        <v>1249</v>
      </c>
    </row>
    <row r="15" spans="1:11">
      <c r="B15" s="138">
        <v>2</v>
      </c>
      <c r="C15" s="139" t="s">
        <v>1250</v>
      </c>
    </row>
    <row r="16" spans="1:11">
      <c r="B16" s="138">
        <v>3</v>
      </c>
      <c r="C16" s="139" t="s">
        <v>1252</v>
      </c>
    </row>
    <row r="17" spans="1:10">
      <c r="B17" s="138">
        <v>4</v>
      </c>
      <c r="C17" s="139" t="s">
        <v>1253</v>
      </c>
    </row>
    <row r="20" spans="1:10" ht="15">
      <c r="A20" s="142" t="s">
        <v>1251</v>
      </c>
      <c r="B20" s="143"/>
      <c r="C20" s="143"/>
      <c r="D20" s="143"/>
      <c r="E20" s="143"/>
      <c r="F20" s="143"/>
      <c r="G20" s="143"/>
      <c r="H20" s="143"/>
      <c r="I20" s="143"/>
      <c r="J20" s="143"/>
    </row>
    <row r="21" spans="1:10" ht="15">
      <c r="B21" s="138">
        <v>1</v>
      </c>
      <c r="C21" s="141" t="s">
        <v>1254</v>
      </c>
    </row>
    <row r="22" spans="1:10">
      <c r="B22" s="138">
        <v>2</v>
      </c>
      <c r="C22" s="139" t="s">
        <v>1255</v>
      </c>
    </row>
    <row r="23" spans="1:10">
      <c r="B23" s="138">
        <v>3</v>
      </c>
      <c r="C23" s="139" t="s">
        <v>1252</v>
      </c>
    </row>
    <row r="24" spans="1:10">
      <c r="B24" s="138">
        <v>4</v>
      </c>
      <c r="C24" s="139" t="s">
        <v>1253</v>
      </c>
    </row>
    <row r="26" spans="1:10" ht="15">
      <c r="A26" s="142" t="s">
        <v>1256</v>
      </c>
      <c r="B26" s="143"/>
      <c r="C26" s="143"/>
      <c r="D26" s="143"/>
      <c r="E26" s="143"/>
      <c r="F26" s="143"/>
      <c r="G26" s="143"/>
      <c r="H26" s="143"/>
      <c r="I26" s="143"/>
      <c r="J26" s="143"/>
    </row>
    <row r="27" spans="1:10" ht="15">
      <c r="B27" s="138">
        <v>1</v>
      </c>
      <c r="C27" s="144" t="s">
        <v>1257</v>
      </c>
    </row>
    <row r="28" spans="1:10">
      <c r="B28" s="138">
        <v>2</v>
      </c>
      <c r="C28" s="145" t="s">
        <v>1258</v>
      </c>
    </row>
    <row r="29" spans="1:10">
      <c r="B29" s="138">
        <v>3</v>
      </c>
      <c r="C29" s="145" t="s">
        <v>1259</v>
      </c>
    </row>
    <row r="32" spans="1:10" ht="15">
      <c r="A32" s="142" t="s">
        <v>1261</v>
      </c>
      <c r="B32" s="143"/>
      <c r="C32" s="143"/>
      <c r="D32" s="143"/>
      <c r="E32" s="143"/>
      <c r="F32" s="143"/>
      <c r="G32" s="143"/>
      <c r="H32" s="143"/>
      <c r="I32" s="143"/>
      <c r="J32" s="143"/>
    </row>
    <row r="33" spans="1:10" ht="15">
      <c r="B33" s="138">
        <v>1</v>
      </c>
      <c r="C33" s="144" t="s">
        <v>1262</v>
      </c>
    </row>
    <row r="34" spans="1:10">
      <c r="B34" s="138">
        <v>2</v>
      </c>
      <c r="C34" s="146" t="s">
        <v>1263</v>
      </c>
    </row>
    <row r="35" spans="1:10">
      <c r="C35" s="145"/>
    </row>
    <row r="36" spans="1:10" ht="15">
      <c r="A36" s="142" t="s">
        <v>1295</v>
      </c>
      <c r="B36" s="143"/>
      <c r="C36" s="143"/>
      <c r="D36" s="143"/>
      <c r="E36" s="143"/>
      <c r="F36" s="143"/>
      <c r="G36" s="143"/>
      <c r="H36" s="143"/>
      <c r="I36" s="143"/>
      <c r="J36" s="143"/>
    </row>
    <row r="37" spans="1:10">
      <c r="B37" s="138">
        <v>1</v>
      </c>
      <c r="C37" s="139" t="s">
        <v>1296</v>
      </c>
    </row>
    <row r="38" spans="1:10">
      <c r="B38" s="138">
        <v>2</v>
      </c>
      <c r="C38" s="139" t="s">
        <v>1297</v>
      </c>
    </row>
    <row r="40" spans="1:10" ht="15">
      <c r="A40" s="142" t="s">
        <v>1323</v>
      </c>
      <c r="B40" s="143"/>
      <c r="C40" s="143"/>
      <c r="D40" s="143"/>
      <c r="E40" s="143"/>
      <c r="F40" s="143"/>
      <c r="G40" s="143"/>
      <c r="H40" s="143"/>
      <c r="I40" s="143"/>
      <c r="J40" s="143"/>
    </row>
    <row r="41" spans="1:10">
      <c r="B41" s="138">
        <v>1</v>
      </c>
      <c r="C41" s="139" t="s">
        <v>1324</v>
      </c>
    </row>
    <row r="42" spans="1:10">
      <c r="B42" s="138">
        <v>2</v>
      </c>
      <c r="C42" s="139" t="s">
        <v>1325</v>
      </c>
    </row>
    <row r="43" spans="1:10">
      <c r="B43" s="138">
        <v>3</v>
      </c>
      <c r="C43" s="139" t="s">
        <v>1326</v>
      </c>
    </row>
    <row r="44" spans="1:10">
      <c r="C44" s="465" t="s">
        <v>1328</v>
      </c>
      <c r="D44" s="465"/>
      <c r="E44" s="465"/>
      <c r="F44" s="465"/>
      <c r="G44" s="465"/>
      <c r="H44" s="465"/>
      <c r="I44" s="465"/>
      <c r="J44" s="465"/>
    </row>
    <row r="45" spans="1:10">
      <c r="C45" s="465"/>
      <c r="D45" s="465"/>
      <c r="E45" s="465"/>
      <c r="F45" s="465"/>
      <c r="G45" s="465"/>
      <c r="H45" s="465"/>
      <c r="I45" s="465"/>
      <c r="J45" s="465"/>
    </row>
    <row r="46" spans="1:10">
      <c r="C46" s="466" t="s">
        <v>1327</v>
      </c>
      <c r="D46" s="466"/>
      <c r="E46" s="466"/>
      <c r="F46" s="466"/>
      <c r="G46" s="466"/>
      <c r="H46" s="466"/>
      <c r="I46" s="466"/>
      <c r="J46" s="466"/>
    </row>
    <row r="47" spans="1:10">
      <c r="C47" s="466"/>
      <c r="D47" s="466"/>
      <c r="E47" s="466"/>
      <c r="F47" s="466"/>
      <c r="G47" s="466"/>
      <c r="H47" s="466"/>
      <c r="I47" s="466"/>
      <c r="J47" s="466"/>
    </row>
  </sheetData>
  <mergeCells count="11">
    <mergeCell ref="C44:J45"/>
    <mergeCell ref="C46:J47"/>
    <mergeCell ref="B3:J3"/>
    <mergeCell ref="B4:J4"/>
    <mergeCell ref="B1:J1"/>
    <mergeCell ref="A11:K11"/>
    <mergeCell ref="B5:J5"/>
    <mergeCell ref="B6:J6"/>
    <mergeCell ref="B7:J7"/>
    <mergeCell ref="B8:J8"/>
    <mergeCell ref="B9:J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59999389629810485"/>
  </sheetPr>
  <dimension ref="A1:R37"/>
  <sheetViews>
    <sheetView showGridLines="0" workbookViewId="0">
      <selection activeCell="G11" sqref="G11"/>
    </sheetView>
  </sheetViews>
  <sheetFormatPr defaultColWidth="0" defaultRowHeight="15" zeroHeight="1"/>
  <cols>
    <col min="1" max="1" width="6.28515625" customWidth="1"/>
    <col min="2" max="2" width="3.85546875" customWidth="1"/>
    <col min="3" max="18" width="9.140625" customWidth="1"/>
    <col min="19" max="16384" width="9.140625" hidden="1"/>
  </cols>
  <sheetData>
    <row r="1" spans="3:18" ht="38.25">
      <c r="C1" s="148" t="s">
        <v>1269</v>
      </c>
    </row>
    <row r="2" spans="3:18">
      <c r="C2" s="149"/>
    </row>
    <row r="3" spans="3:18" ht="25.5" customHeight="1">
      <c r="C3" s="469" t="s">
        <v>1270</v>
      </c>
      <c r="D3" s="469"/>
      <c r="E3" s="469"/>
      <c r="F3" s="469"/>
      <c r="G3" s="469"/>
      <c r="H3" s="469"/>
      <c r="I3" s="469"/>
      <c r="J3" s="469"/>
      <c r="K3" s="469"/>
      <c r="L3" s="469"/>
      <c r="M3" s="469"/>
      <c r="N3" s="469"/>
      <c r="O3" s="469"/>
      <c r="P3" s="469"/>
      <c r="Q3" s="469"/>
      <c r="R3" s="244"/>
    </row>
    <row r="4" spans="3:18" ht="25.5" customHeight="1">
      <c r="C4" s="469"/>
      <c r="D4" s="469"/>
      <c r="E4" s="469"/>
      <c r="F4" s="469"/>
      <c r="G4" s="469"/>
      <c r="H4" s="469"/>
      <c r="I4" s="469"/>
      <c r="J4" s="469"/>
      <c r="K4" s="469"/>
      <c r="L4" s="469"/>
      <c r="M4" s="469"/>
      <c r="N4" s="469"/>
      <c r="O4" s="469"/>
      <c r="P4" s="469"/>
      <c r="Q4" s="469"/>
      <c r="R4" s="244"/>
    </row>
    <row r="5" spans="3:18" ht="75" customHeight="1">
      <c r="C5" s="470" t="s">
        <v>1271</v>
      </c>
      <c r="D5" s="470"/>
      <c r="E5" s="470"/>
      <c r="F5" s="470"/>
      <c r="G5" s="470"/>
      <c r="H5" s="470"/>
      <c r="I5" s="470"/>
      <c r="J5" s="470"/>
      <c r="K5" s="470"/>
      <c r="L5" s="470"/>
      <c r="M5" s="470"/>
      <c r="N5" s="470"/>
      <c r="O5" s="470"/>
      <c r="P5" s="470"/>
      <c r="Q5" s="470"/>
    </row>
    <row r="6" spans="3:18">
      <c r="C6" s="151"/>
    </row>
    <row r="7" spans="3:18" ht="16.5">
      <c r="C7" s="152" t="s">
        <v>1272</v>
      </c>
    </row>
    <row r="8" spans="3:18">
      <c r="C8" s="151"/>
    </row>
    <row r="9" spans="3:18" ht="16.5">
      <c r="C9" s="152" t="s">
        <v>1273</v>
      </c>
    </row>
    <row r="10" spans="3:18">
      <c r="C10" s="151"/>
    </row>
    <row r="11" spans="3:18" ht="16.5">
      <c r="C11" s="152" t="s">
        <v>1274</v>
      </c>
    </row>
    <row r="12" spans="3:18">
      <c r="C12" s="151"/>
    </row>
    <row r="13" spans="3:18" ht="16.5">
      <c r="C13" s="152" t="s">
        <v>1275</v>
      </c>
    </row>
    <row r="14" spans="3:18">
      <c r="C14" s="151"/>
    </row>
    <row r="15" spans="3:18" ht="16.5">
      <c r="C15" s="190" t="s">
        <v>1299</v>
      </c>
    </row>
    <row r="16" spans="3:18">
      <c r="C16" s="151"/>
    </row>
    <row r="17" spans="3:3" ht="16.5">
      <c r="C17" s="152" t="s">
        <v>1276</v>
      </c>
    </row>
    <row r="18" spans="3:3">
      <c r="C18" s="149"/>
    </row>
    <row r="19" spans="3:3" ht="25.5">
      <c r="C19" s="150" t="s">
        <v>1277</v>
      </c>
    </row>
    <row r="20" spans="3:3" ht="25.5">
      <c r="C20" s="150"/>
    </row>
    <row r="21" spans="3:3" ht="25.5">
      <c r="C21" s="150"/>
    </row>
    <row r="22" spans="3:3"/>
    <row r="23" spans="3:3"/>
    <row r="24" spans="3:3"/>
    <row r="25" spans="3:3"/>
    <row r="26" spans="3:3"/>
    <row r="27" spans="3:3"/>
    <row r="28" spans="3:3"/>
    <row r="29" spans="3:3"/>
    <row r="30" spans="3:3"/>
    <row r="31" spans="3:3"/>
    <row r="32" spans="3:3"/>
    <row r="33"/>
    <row r="34"/>
    <row r="35"/>
    <row r="36"/>
    <row r="37"/>
  </sheetData>
  <mergeCells count="2">
    <mergeCell ref="C3:Q4"/>
    <mergeCell ref="C5:Q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N24"/>
  <sheetViews>
    <sheetView zoomScale="115" zoomScaleNormal="115" workbookViewId="0">
      <selection activeCell="G14" sqref="G14"/>
    </sheetView>
  </sheetViews>
  <sheetFormatPr defaultColWidth="9.140625" defaultRowHeight="14.25"/>
  <cols>
    <col min="1" max="1" width="10" style="3" customWidth="1"/>
    <col min="2" max="2" width="9.140625" style="3"/>
    <col min="3" max="3" width="10.42578125" style="31" bestFit="1" customWidth="1"/>
    <col min="4" max="4" width="9.140625" style="31"/>
    <col min="5" max="5" width="10.85546875" style="1" bestFit="1" customWidth="1"/>
    <col min="6" max="6" width="9.140625" style="1"/>
    <col min="7" max="7" width="9.140625" style="3"/>
    <col min="8" max="8" width="11.7109375" style="31" bestFit="1" customWidth="1"/>
    <col min="9" max="9" width="9.140625" style="31"/>
    <col min="10" max="10" width="13.42578125" style="44" customWidth="1"/>
    <col min="11" max="11" width="17.28515625" style="31" bestFit="1" customWidth="1"/>
    <col min="12" max="12" width="14.5703125" style="47" customWidth="1"/>
    <col min="13" max="16384" width="9.140625" style="3"/>
  </cols>
  <sheetData>
    <row r="2" spans="2:14" ht="30">
      <c r="B2" s="27" t="s">
        <v>0</v>
      </c>
      <c r="C2" s="28" t="s">
        <v>1</v>
      </c>
      <c r="D2" s="27" t="s">
        <v>2</v>
      </c>
      <c r="E2" s="27" t="s">
        <v>3</v>
      </c>
      <c r="F2" s="27" t="s">
        <v>10</v>
      </c>
      <c r="G2" s="27"/>
      <c r="H2" s="28" t="s">
        <v>4</v>
      </c>
      <c r="I2" s="29" t="s">
        <v>5</v>
      </c>
      <c r="J2" s="43" t="s">
        <v>6</v>
      </c>
      <c r="K2" s="29" t="s">
        <v>7</v>
      </c>
      <c r="L2" s="27" t="s">
        <v>8</v>
      </c>
    </row>
    <row r="3" spans="2:14" ht="15" customHeight="1">
      <c r="B3" s="19" t="s">
        <v>11</v>
      </c>
      <c r="C3" s="30"/>
      <c r="D3" s="30"/>
      <c r="E3" s="109"/>
      <c r="F3" s="109"/>
      <c r="G3" s="19"/>
      <c r="H3" s="30"/>
      <c r="I3" s="48"/>
      <c r="J3" s="49"/>
      <c r="K3" s="120"/>
      <c r="L3" s="30"/>
    </row>
    <row r="4" spans="2:14">
      <c r="B4" s="19"/>
      <c r="E4" s="110"/>
      <c r="F4" s="110"/>
      <c r="I4" s="50"/>
      <c r="J4" s="51"/>
      <c r="K4" s="121"/>
      <c r="L4" s="31"/>
    </row>
    <row r="5" spans="2:14" ht="15" customHeight="1">
      <c r="B5" s="32" t="s">
        <v>12</v>
      </c>
      <c r="C5" s="33"/>
      <c r="D5" s="33"/>
      <c r="E5" s="111"/>
      <c r="F5" s="111"/>
      <c r="G5" s="32"/>
      <c r="H5" s="33"/>
      <c r="I5" s="52"/>
      <c r="J5" s="53"/>
      <c r="K5" s="122"/>
      <c r="L5" s="33"/>
    </row>
    <row r="6" spans="2:14">
      <c r="B6" s="32"/>
      <c r="E6" s="110"/>
      <c r="F6" s="110"/>
      <c r="I6" s="50"/>
      <c r="J6" s="51"/>
      <c r="K6" s="121"/>
      <c r="L6" s="31"/>
    </row>
    <row r="7" spans="2:14" ht="15" customHeight="1">
      <c r="B7" s="20" t="s">
        <v>13</v>
      </c>
      <c r="C7" s="34"/>
      <c r="D7" s="34"/>
      <c r="E7" s="112"/>
      <c r="F7" s="112"/>
      <c r="G7" s="20"/>
      <c r="H7" s="34"/>
      <c r="I7" s="54"/>
      <c r="J7" s="55"/>
      <c r="K7" s="123"/>
      <c r="L7" s="34"/>
    </row>
    <row r="8" spans="2:14">
      <c r="B8" s="20"/>
      <c r="E8" s="110"/>
      <c r="F8" s="110"/>
      <c r="I8" s="50"/>
      <c r="J8" s="51"/>
      <c r="K8" s="121"/>
      <c r="L8" s="31"/>
    </row>
    <row r="9" spans="2:14" ht="15" customHeight="1">
      <c r="B9" s="21" t="s">
        <v>14</v>
      </c>
      <c r="C9" s="35"/>
      <c r="D9" s="35"/>
      <c r="E9" s="113"/>
      <c r="F9" s="113"/>
      <c r="G9" s="21"/>
      <c r="H9" s="35"/>
      <c r="I9" s="56"/>
      <c r="J9" s="57"/>
      <c r="K9" s="124"/>
      <c r="L9" s="35"/>
    </row>
    <row r="10" spans="2:14">
      <c r="B10" s="21"/>
      <c r="E10" s="110"/>
      <c r="F10" s="110"/>
      <c r="I10" s="50"/>
      <c r="J10" s="51"/>
      <c r="K10" s="121"/>
      <c r="L10" s="31"/>
    </row>
    <row r="11" spans="2:14" s="37" customFormat="1" ht="15" customHeight="1">
      <c r="B11" s="22" t="s">
        <v>15</v>
      </c>
      <c r="C11" s="36"/>
      <c r="D11" s="36"/>
      <c r="E11" s="114"/>
      <c r="F11" s="114"/>
      <c r="G11" s="22"/>
      <c r="H11" s="36"/>
      <c r="I11" s="58"/>
      <c r="J11" s="59"/>
      <c r="K11" s="125"/>
      <c r="L11" s="36"/>
      <c r="N11" s="3"/>
    </row>
    <row r="12" spans="2:14" s="37" customFormat="1" ht="15" customHeight="1">
      <c r="B12" s="22"/>
      <c r="C12" s="38"/>
      <c r="D12" s="38"/>
      <c r="E12" s="115"/>
      <c r="F12" s="115"/>
      <c r="G12" s="18"/>
      <c r="H12" s="38"/>
      <c r="I12" s="60"/>
      <c r="J12" s="61"/>
      <c r="K12" s="126"/>
      <c r="L12" s="38"/>
      <c r="N12" s="3"/>
    </row>
    <row r="13" spans="2:14" s="37" customFormat="1" ht="15" customHeight="1">
      <c r="B13" s="23" t="s">
        <v>16</v>
      </c>
      <c r="C13" s="39"/>
      <c r="D13" s="39"/>
      <c r="E13" s="116"/>
      <c r="F13" s="116"/>
      <c r="G13" s="23"/>
      <c r="H13" s="39"/>
      <c r="I13" s="62"/>
      <c r="J13" s="63"/>
      <c r="K13" s="127"/>
      <c r="L13" s="39"/>
      <c r="N13" s="3"/>
    </row>
    <row r="14" spans="2:14" s="37" customFormat="1" ht="15" customHeight="1">
      <c r="B14" s="23"/>
      <c r="C14" s="38"/>
      <c r="D14" s="38"/>
      <c r="E14" s="115"/>
      <c r="F14" s="115"/>
      <c r="G14" s="18"/>
      <c r="H14" s="38"/>
      <c r="I14" s="60"/>
      <c r="J14" s="61"/>
      <c r="K14" s="126"/>
      <c r="L14" s="38"/>
      <c r="N14" s="3"/>
    </row>
    <row r="15" spans="2:14" s="37" customFormat="1" ht="15" customHeight="1">
      <c r="B15" s="24" t="s">
        <v>9</v>
      </c>
      <c r="C15" s="40"/>
      <c r="D15" s="40"/>
      <c r="E15" s="117"/>
      <c r="F15" s="117"/>
      <c r="G15" s="24"/>
      <c r="H15" s="40"/>
      <c r="I15" s="64"/>
      <c r="J15" s="65"/>
      <c r="K15" s="128"/>
      <c r="L15" s="40"/>
      <c r="N15" s="3"/>
    </row>
    <row r="16" spans="2:14" s="37" customFormat="1" ht="15" customHeight="1">
      <c r="B16" s="24"/>
      <c r="C16" s="38"/>
      <c r="D16" s="38"/>
      <c r="E16" s="115"/>
      <c r="F16" s="115"/>
      <c r="G16" s="18"/>
      <c r="H16" s="38"/>
      <c r="I16" s="60"/>
      <c r="J16" s="61"/>
      <c r="K16" s="126"/>
      <c r="L16" s="38"/>
      <c r="N16" s="3"/>
    </row>
    <row r="17" spans="2:14" s="37" customFormat="1">
      <c r="B17" s="25" t="s">
        <v>30</v>
      </c>
      <c r="C17" s="41"/>
      <c r="D17" s="41"/>
      <c r="E17" s="118"/>
      <c r="F17" s="118"/>
      <c r="G17" s="25"/>
      <c r="H17" s="41"/>
      <c r="I17" s="66"/>
      <c r="J17" s="67"/>
      <c r="K17" s="129"/>
      <c r="L17" s="41"/>
      <c r="N17" s="3"/>
    </row>
    <row r="18" spans="2:14" s="37" customFormat="1">
      <c r="B18" s="25"/>
      <c r="C18" s="38"/>
      <c r="D18" s="38"/>
      <c r="E18" s="115"/>
      <c r="F18" s="115"/>
      <c r="G18" s="18"/>
      <c r="H18" s="38"/>
      <c r="I18" s="60"/>
      <c r="J18" s="61"/>
      <c r="K18" s="126"/>
      <c r="L18" s="38"/>
      <c r="N18" s="3"/>
    </row>
    <row r="19" spans="2:14" s="37" customFormat="1">
      <c r="B19" s="26" t="s">
        <v>40</v>
      </c>
      <c r="C19" s="42"/>
      <c r="D19" s="42"/>
      <c r="E19" s="119"/>
      <c r="F19" s="119"/>
      <c r="G19" s="26"/>
      <c r="H19" s="42"/>
      <c r="I19" s="68"/>
      <c r="J19" s="69"/>
      <c r="K19" s="130"/>
      <c r="L19" s="42"/>
      <c r="N19" s="3"/>
    </row>
    <row r="20" spans="2:14">
      <c r="B20" s="26"/>
      <c r="E20" s="110"/>
      <c r="F20" s="110"/>
      <c r="I20" s="50"/>
      <c r="J20" s="51"/>
      <c r="K20" s="121"/>
      <c r="L20" s="31"/>
    </row>
    <row r="21" spans="2:14">
      <c r="B21" s="1"/>
      <c r="C21" s="1"/>
      <c r="D21" s="1"/>
      <c r="G21" s="1"/>
      <c r="H21" s="1"/>
      <c r="I21" s="1"/>
      <c r="L21" s="31"/>
    </row>
    <row r="22" spans="2:14">
      <c r="B22" s="1"/>
      <c r="C22" s="1"/>
      <c r="D22" s="1"/>
      <c r="G22" s="1"/>
      <c r="H22" s="1"/>
      <c r="I22" s="1"/>
      <c r="J22" s="84"/>
    </row>
    <row r="23" spans="2:14">
      <c r="B23" s="1"/>
      <c r="C23" s="1"/>
      <c r="D23" s="1"/>
      <c r="G23" s="1"/>
      <c r="H23" s="1"/>
      <c r="I23" s="1"/>
      <c r="J23" s="85"/>
    </row>
    <row r="24" spans="2:14">
      <c r="B24" s="1"/>
      <c r="C24" s="1"/>
      <c r="D24" s="1"/>
      <c r="G24" s="1"/>
      <c r="H24" s="1"/>
      <c r="I24" s="1"/>
      <c r="J24"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W35"/>
  <sheetViews>
    <sheetView zoomScale="70" zoomScaleNormal="70" workbookViewId="0">
      <selection activeCell="V4" sqref="V4"/>
    </sheetView>
  </sheetViews>
  <sheetFormatPr defaultRowHeight="15"/>
  <cols>
    <col min="1" max="1" width="3" customWidth="1"/>
    <col min="2" max="3" width="3.140625" customWidth="1"/>
    <col min="4" max="5" width="3.140625" style="83" customWidth="1"/>
    <col min="6" max="6" width="22.5703125" bestFit="1" customWidth="1"/>
    <col min="7" max="7" width="5" bestFit="1" customWidth="1"/>
    <col min="8" max="8" width="33.140625" bestFit="1" customWidth="1"/>
    <col min="9" max="9" width="5" bestFit="1" customWidth="1"/>
    <col min="10" max="10" width="25.85546875" bestFit="1" customWidth="1"/>
    <col min="11" max="11" width="5" bestFit="1" customWidth="1"/>
    <col min="12" max="12" width="26.42578125" bestFit="1" customWidth="1"/>
    <col min="13" max="13" width="5" bestFit="1" customWidth="1"/>
    <col min="14" max="14" width="19.85546875" bestFit="1" customWidth="1"/>
    <col min="15" max="15" width="5" bestFit="1" customWidth="1"/>
    <col min="16" max="16" width="31.140625" bestFit="1" customWidth="1"/>
    <col min="17" max="17" width="5" bestFit="1" customWidth="1"/>
    <col min="18" max="18" width="27.7109375" bestFit="1" customWidth="1"/>
    <col min="19" max="19" width="5" bestFit="1" customWidth="1"/>
    <col min="20" max="20" width="16.7109375" bestFit="1" customWidth="1"/>
    <col min="21" max="21" width="5" bestFit="1" customWidth="1"/>
    <col min="22" max="22" width="10.140625" bestFit="1" customWidth="1"/>
    <col min="23" max="23" width="5" bestFit="1" customWidth="1"/>
  </cols>
  <sheetData>
    <row r="1" spans="2:23" s="3" customFormat="1">
      <c r="D1" s="1" t="s">
        <v>131</v>
      </c>
      <c r="E1" s="1" t="s">
        <v>132</v>
      </c>
      <c r="F1" s="471" t="s">
        <v>32</v>
      </c>
      <c r="G1" s="472"/>
      <c r="H1" s="472"/>
      <c r="I1" s="472"/>
      <c r="J1" s="472"/>
      <c r="K1" s="472"/>
      <c r="L1" s="472"/>
      <c r="M1" s="472"/>
      <c r="N1" s="472"/>
      <c r="O1" s="472"/>
      <c r="P1" s="472"/>
      <c r="Q1" s="472"/>
      <c r="R1" s="472"/>
      <c r="S1" s="472"/>
      <c r="T1" s="472"/>
      <c r="U1" s="472"/>
      <c r="V1" s="472"/>
      <c r="W1" s="473"/>
    </row>
    <row r="2" spans="2:23" s="5" customFormat="1" ht="29.25" customHeight="1">
      <c r="B2" s="4" t="s">
        <v>33</v>
      </c>
      <c r="C2" s="5" t="s">
        <v>31</v>
      </c>
      <c r="F2" s="6" t="s">
        <v>11</v>
      </c>
      <c r="G2" s="6"/>
      <c r="H2" s="6" t="s">
        <v>12</v>
      </c>
      <c r="I2" s="7"/>
      <c r="J2" s="6" t="s">
        <v>13</v>
      </c>
      <c r="K2" s="6"/>
      <c r="L2" s="6" t="s">
        <v>14</v>
      </c>
      <c r="M2" s="6"/>
      <c r="N2" s="6" t="s">
        <v>15</v>
      </c>
      <c r="O2" s="6"/>
      <c r="P2" s="6" t="s">
        <v>16</v>
      </c>
      <c r="Q2" s="6"/>
      <c r="R2" s="6" t="s">
        <v>9</v>
      </c>
      <c r="S2" s="6"/>
      <c r="T2" s="6" t="s">
        <v>30</v>
      </c>
      <c r="U2" s="8"/>
      <c r="V2" s="8" t="s">
        <v>40</v>
      </c>
      <c r="W2" s="9"/>
    </row>
    <row r="3" spans="2:23" s="3" customFormat="1" ht="14.25">
      <c r="B3" s="1" t="s">
        <v>11</v>
      </c>
      <c r="C3" s="2" t="s">
        <v>17</v>
      </c>
      <c r="D3" s="1">
        <f>MIN(G3:G34)</f>
        <v>101</v>
      </c>
      <c r="E3" s="1">
        <f>MAX(G3:G34)</f>
        <v>110</v>
      </c>
      <c r="F3" s="10" t="s">
        <v>41</v>
      </c>
      <c r="G3" s="7">
        <v>101</v>
      </c>
      <c r="H3" s="10" t="s">
        <v>27</v>
      </c>
      <c r="I3" s="7">
        <v>201</v>
      </c>
      <c r="J3" s="10" t="s">
        <v>75</v>
      </c>
      <c r="K3" s="7">
        <v>301</v>
      </c>
      <c r="L3" s="10" t="s">
        <v>86</v>
      </c>
      <c r="M3" s="7">
        <v>401</v>
      </c>
      <c r="N3" s="10" t="s">
        <v>102</v>
      </c>
      <c r="O3" s="7">
        <v>501</v>
      </c>
      <c r="P3" s="10" t="s">
        <v>109</v>
      </c>
      <c r="Q3" s="10">
        <v>601</v>
      </c>
      <c r="R3" s="10" t="s">
        <v>113</v>
      </c>
      <c r="S3" s="10">
        <v>701</v>
      </c>
      <c r="T3" s="10" t="s">
        <v>122</v>
      </c>
      <c r="U3" s="11">
        <v>801</v>
      </c>
      <c r="V3" s="11" t="s">
        <v>1227</v>
      </c>
      <c r="W3" s="12">
        <v>901</v>
      </c>
    </row>
    <row r="4" spans="2:23" s="3" customFormat="1" ht="14.25">
      <c r="B4" s="1" t="s">
        <v>12</v>
      </c>
      <c r="C4" s="2" t="s">
        <v>34</v>
      </c>
      <c r="D4" s="1">
        <f>MIN(I3:I34)</f>
        <v>201</v>
      </c>
      <c r="E4" s="1">
        <f>MAX(I3:I34)</f>
        <v>232</v>
      </c>
      <c r="F4" s="10" t="s">
        <v>19</v>
      </c>
      <c r="G4" s="7">
        <v>102</v>
      </c>
      <c r="H4" s="10" t="s">
        <v>48</v>
      </c>
      <c r="I4" s="7">
        <v>202</v>
      </c>
      <c r="J4" s="10" t="s">
        <v>76</v>
      </c>
      <c r="K4" s="7">
        <v>302</v>
      </c>
      <c r="L4" s="10" t="s">
        <v>87</v>
      </c>
      <c r="M4" s="7">
        <v>402</v>
      </c>
      <c r="N4" s="10" t="s">
        <v>103</v>
      </c>
      <c r="O4" s="7">
        <v>502</v>
      </c>
      <c r="P4" s="10" t="s">
        <v>110</v>
      </c>
      <c r="Q4" s="10">
        <v>602</v>
      </c>
      <c r="R4" s="10" t="s">
        <v>114</v>
      </c>
      <c r="S4" s="10">
        <v>702</v>
      </c>
      <c r="T4" s="10" t="s">
        <v>123</v>
      </c>
      <c r="U4" s="11">
        <v>802</v>
      </c>
      <c r="V4" s="11"/>
      <c r="W4" s="12"/>
    </row>
    <row r="5" spans="2:23" s="3" customFormat="1" ht="14.25">
      <c r="B5" s="1" t="s">
        <v>13</v>
      </c>
      <c r="C5" s="2" t="s">
        <v>133</v>
      </c>
      <c r="D5" s="1">
        <f>MIN(K3:K34)</f>
        <v>301</v>
      </c>
      <c r="E5" s="1">
        <f>MAX(K3:K34)</f>
        <v>315</v>
      </c>
      <c r="F5" s="10" t="s">
        <v>42</v>
      </c>
      <c r="G5" s="7">
        <v>103</v>
      </c>
      <c r="H5" s="10" t="s">
        <v>49</v>
      </c>
      <c r="I5" s="7">
        <v>203</v>
      </c>
      <c r="J5" s="10" t="s">
        <v>77</v>
      </c>
      <c r="K5" s="7">
        <v>303</v>
      </c>
      <c r="L5" s="10" t="s">
        <v>88</v>
      </c>
      <c r="M5" s="7">
        <v>403</v>
      </c>
      <c r="N5" s="10" t="s">
        <v>104</v>
      </c>
      <c r="O5" s="7">
        <v>503</v>
      </c>
      <c r="P5" s="10" t="s">
        <v>111</v>
      </c>
      <c r="Q5" s="10">
        <v>603</v>
      </c>
      <c r="R5" s="10" t="s">
        <v>115</v>
      </c>
      <c r="S5" s="10">
        <v>703</v>
      </c>
      <c r="T5" s="10" t="s">
        <v>124</v>
      </c>
      <c r="U5" s="11">
        <v>803</v>
      </c>
      <c r="V5" s="11"/>
      <c r="W5" s="12"/>
    </row>
    <row r="6" spans="2:23" s="3" customFormat="1" ht="14.25">
      <c r="B6" s="1" t="s">
        <v>14</v>
      </c>
      <c r="C6" s="2" t="s">
        <v>18</v>
      </c>
      <c r="D6" s="1">
        <f>MIN(M3:M34)</f>
        <v>401</v>
      </c>
      <c r="E6" s="1">
        <f>MAX(M3:M34)</f>
        <v>417</v>
      </c>
      <c r="F6" s="10" t="s">
        <v>43</v>
      </c>
      <c r="G6" s="7">
        <v>104</v>
      </c>
      <c r="H6" s="10" t="s">
        <v>28</v>
      </c>
      <c r="I6" s="7">
        <v>204</v>
      </c>
      <c r="J6" s="10" t="s">
        <v>78</v>
      </c>
      <c r="K6" s="7">
        <v>304</v>
      </c>
      <c r="L6" s="10" t="s">
        <v>89</v>
      </c>
      <c r="M6" s="7">
        <v>404</v>
      </c>
      <c r="N6" s="10" t="s">
        <v>105</v>
      </c>
      <c r="O6" s="7">
        <v>504</v>
      </c>
      <c r="P6" s="10" t="s">
        <v>112</v>
      </c>
      <c r="Q6" s="10">
        <v>604</v>
      </c>
      <c r="R6" s="10" t="s">
        <v>116</v>
      </c>
      <c r="S6" s="10">
        <v>704</v>
      </c>
      <c r="T6" s="10" t="s">
        <v>125</v>
      </c>
      <c r="U6" s="11">
        <v>804</v>
      </c>
      <c r="V6" s="11"/>
      <c r="W6" s="12"/>
    </row>
    <row r="7" spans="2:23" s="3" customFormat="1" ht="14.25">
      <c r="B7" s="1" t="s">
        <v>15</v>
      </c>
      <c r="C7" s="2" t="s">
        <v>35</v>
      </c>
      <c r="D7" s="1">
        <f>MIN(O3:O34)</f>
        <v>501</v>
      </c>
      <c r="E7" s="1">
        <f>MAX(O3:O34)</f>
        <v>509</v>
      </c>
      <c r="F7" s="10" t="s">
        <v>44</v>
      </c>
      <c r="G7" s="7">
        <v>105</v>
      </c>
      <c r="H7" s="10" t="s">
        <v>50</v>
      </c>
      <c r="I7" s="7">
        <v>205</v>
      </c>
      <c r="J7" s="10" t="s">
        <v>79</v>
      </c>
      <c r="K7" s="7">
        <v>305</v>
      </c>
      <c r="L7" s="10" t="s">
        <v>90</v>
      </c>
      <c r="M7" s="7">
        <v>405</v>
      </c>
      <c r="N7" s="10" t="s">
        <v>106</v>
      </c>
      <c r="O7" s="7">
        <v>505</v>
      </c>
      <c r="P7" s="10" t="s">
        <v>26</v>
      </c>
      <c r="Q7" s="10">
        <v>605</v>
      </c>
      <c r="R7" s="10" t="s">
        <v>117</v>
      </c>
      <c r="S7" s="10">
        <v>705</v>
      </c>
      <c r="T7" s="10" t="s">
        <v>126</v>
      </c>
      <c r="U7" s="11">
        <v>805</v>
      </c>
      <c r="V7" s="11"/>
      <c r="W7" s="12"/>
    </row>
    <row r="8" spans="2:23" s="3" customFormat="1" ht="14.25">
      <c r="B8" s="1" t="s">
        <v>16</v>
      </c>
      <c r="C8" s="2" t="s">
        <v>36</v>
      </c>
      <c r="D8" s="1">
        <f>MIN(Q3:Q34)</f>
        <v>601</v>
      </c>
      <c r="E8" s="1">
        <f>MAX(Q3:Q34)</f>
        <v>606</v>
      </c>
      <c r="F8" s="10" t="s">
        <v>45</v>
      </c>
      <c r="G8" s="7">
        <v>106</v>
      </c>
      <c r="H8" s="10" t="s">
        <v>51</v>
      </c>
      <c r="I8" s="7">
        <v>206</v>
      </c>
      <c r="J8" s="10" t="s">
        <v>80</v>
      </c>
      <c r="K8" s="7">
        <v>306</v>
      </c>
      <c r="L8" s="10" t="s">
        <v>91</v>
      </c>
      <c r="M8" s="7">
        <v>406</v>
      </c>
      <c r="N8" s="10" t="s">
        <v>107</v>
      </c>
      <c r="O8" s="7">
        <v>506</v>
      </c>
      <c r="P8" s="10" t="s">
        <v>1227</v>
      </c>
      <c r="Q8" s="10">
        <v>606</v>
      </c>
      <c r="R8" s="10" t="s">
        <v>118</v>
      </c>
      <c r="S8" s="10">
        <v>706</v>
      </c>
      <c r="T8" s="10" t="s">
        <v>127</v>
      </c>
      <c r="U8" s="11">
        <v>806</v>
      </c>
      <c r="V8" s="11"/>
      <c r="W8" s="12"/>
    </row>
    <row r="9" spans="2:23" s="3" customFormat="1" ht="14.25">
      <c r="B9" s="1" t="s">
        <v>9</v>
      </c>
      <c r="C9" s="2" t="s">
        <v>37</v>
      </c>
      <c r="D9" s="1">
        <f>MIN(S3:S34)</f>
        <v>701</v>
      </c>
      <c r="E9" s="1">
        <f>MAX(S3:S34)</f>
        <v>711</v>
      </c>
      <c r="F9" s="10" t="s">
        <v>46</v>
      </c>
      <c r="G9" s="7">
        <v>107</v>
      </c>
      <c r="H9" s="10" t="s">
        <v>52</v>
      </c>
      <c r="I9" s="7">
        <v>207</v>
      </c>
      <c r="J9" s="10" t="s">
        <v>81</v>
      </c>
      <c r="K9" s="7">
        <v>307</v>
      </c>
      <c r="L9" s="10" t="s">
        <v>92</v>
      </c>
      <c r="M9" s="7">
        <v>407</v>
      </c>
      <c r="N9" s="10" t="s">
        <v>108</v>
      </c>
      <c r="O9" s="7">
        <v>507</v>
      </c>
      <c r="P9" s="10"/>
      <c r="Q9" s="10"/>
      <c r="R9" s="10" t="s">
        <v>119</v>
      </c>
      <c r="S9" s="10">
        <v>707</v>
      </c>
      <c r="T9" s="10" t="s">
        <v>128</v>
      </c>
      <c r="U9" s="11">
        <v>807</v>
      </c>
      <c r="V9" s="11"/>
      <c r="W9" s="12"/>
    </row>
    <row r="10" spans="2:23" s="3" customFormat="1" ht="14.25">
      <c r="B10" s="1" t="s">
        <v>30</v>
      </c>
      <c r="C10" s="2" t="s">
        <v>38</v>
      </c>
      <c r="D10" s="1">
        <f>MIN(U3:U34)</f>
        <v>801</v>
      </c>
      <c r="E10" s="1">
        <f>MAX(U3:U34)</f>
        <v>810</v>
      </c>
      <c r="F10" s="10" t="s">
        <v>25</v>
      </c>
      <c r="G10" s="7">
        <v>108</v>
      </c>
      <c r="H10" s="10" t="s">
        <v>53</v>
      </c>
      <c r="I10" s="7">
        <v>208</v>
      </c>
      <c r="J10" s="10" t="s">
        <v>24</v>
      </c>
      <c r="K10" s="7">
        <v>308</v>
      </c>
      <c r="L10" s="10" t="s">
        <v>93</v>
      </c>
      <c r="M10" s="7">
        <v>408</v>
      </c>
      <c r="N10" s="10" t="s">
        <v>71</v>
      </c>
      <c r="O10" s="7">
        <v>508</v>
      </c>
      <c r="P10" s="10"/>
      <c r="Q10" s="10"/>
      <c r="R10" s="10" t="s">
        <v>121</v>
      </c>
      <c r="S10" s="10">
        <v>708</v>
      </c>
      <c r="T10" s="10" t="s">
        <v>129</v>
      </c>
      <c r="U10" s="11">
        <v>808</v>
      </c>
      <c r="V10" s="11"/>
      <c r="W10" s="12"/>
    </row>
    <row r="11" spans="2:23" s="3" customFormat="1" ht="14.25">
      <c r="B11" s="1" t="s">
        <v>40</v>
      </c>
      <c r="C11" s="2" t="s">
        <v>39</v>
      </c>
      <c r="D11" s="1">
        <f>MIN(W3:W34)</f>
        <v>901</v>
      </c>
      <c r="E11" s="1">
        <f>MAX(W3:W34)</f>
        <v>901</v>
      </c>
      <c r="F11" s="10" t="s">
        <v>47</v>
      </c>
      <c r="G11" s="7">
        <v>109</v>
      </c>
      <c r="H11" s="10" t="s">
        <v>54</v>
      </c>
      <c r="I11" s="7">
        <v>209</v>
      </c>
      <c r="J11" s="10" t="s">
        <v>20</v>
      </c>
      <c r="K11" s="7">
        <v>309</v>
      </c>
      <c r="L11" s="10" t="s">
        <v>94</v>
      </c>
      <c r="M11" s="7">
        <v>409</v>
      </c>
      <c r="N11" s="10" t="s">
        <v>1227</v>
      </c>
      <c r="O11" s="7">
        <v>509</v>
      </c>
      <c r="P11" s="10"/>
      <c r="Q11" s="10"/>
      <c r="R11" s="10" t="s">
        <v>22</v>
      </c>
      <c r="S11" s="10">
        <v>709</v>
      </c>
      <c r="T11" s="10" t="s">
        <v>130</v>
      </c>
      <c r="U11" s="11">
        <v>809</v>
      </c>
      <c r="V11" s="11"/>
      <c r="W11" s="12"/>
    </row>
    <row r="12" spans="2:23" s="3" customFormat="1" ht="14.25">
      <c r="D12" s="1"/>
      <c r="E12" s="1"/>
      <c r="F12" s="10" t="s">
        <v>1227</v>
      </c>
      <c r="G12" s="7">
        <v>110</v>
      </c>
      <c r="H12" s="10" t="s">
        <v>55</v>
      </c>
      <c r="I12" s="7">
        <v>210</v>
      </c>
      <c r="J12" s="10" t="s">
        <v>21</v>
      </c>
      <c r="K12" s="7">
        <v>310</v>
      </c>
      <c r="L12" s="10" t="s">
        <v>95</v>
      </c>
      <c r="M12" s="7">
        <v>410</v>
      </c>
      <c r="N12" s="10"/>
      <c r="O12" s="7"/>
      <c r="P12" s="10"/>
      <c r="Q12" s="10"/>
      <c r="R12" s="10" t="s">
        <v>120</v>
      </c>
      <c r="S12" s="10">
        <v>710</v>
      </c>
      <c r="T12" s="10" t="s">
        <v>1227</v>
      </c>
      <c r="U12" s="11">
        <v>810</v>
      </c>
      <c r="V12" s="11"/>
      <c r="W12" s="12"/>
    </row>
    <row r="13" spans="2:23" s="3" customFormat="1" ht="14.25">
      <c r="D13" s="1"/>
      <c r="E13" s="1"/>
      <c r="F13" s="10"/>
      <c r="G13" s="7"/>
      <c r="H13" s="10" t="s">
        <v>56</v>
      </c>
      <c r="I13" s="7">
        <v>211</v>
      </c>
      <c r="J13" s="10" t="s">
        <v>82</v>
      </c>
      <c r="K13" s="7">
        <v>311</v>
      </c>
      <c r="L13" s="10" t="s">
        <v>96</v>
      </c>
      <c r="M13" s="7">
        <v>411</v>
      </c>
      <c r="N13" s="10"/>
      <c r="O13" s="7"/>
      <c r="P13" s="10"/>
      <c r="Q13" s="10"/>
      <c r="R13" s="10" t="s">
        <v>1227</v>
      </c>
      <c r="S13" s="10">
        <v>711</v>
      </c>
      <c r="T13" s="10"/>
      <c r="U13" s="11"/>
      <c r="V13" s="11"/>
      <c r="W13" s="12"/>
    </row>
    <row r="14" spans="2:23" s="3" customFormat="1" ht="14.25">
      <c r="D14" s="1"/>
      <c r="E14" s="1"/>
      <c r="F14" s="10"/>
      <c r="G14" s="7"/>
      <c r="H14" s="10" t="s">
        <v>57</v>
      </c>
      <c r="I14" s="7">
        <v>212</v>
      </c>
      <c r="J14" s="10" t="s">
        <v>83</v>
      </c>
      <c r="K14" s="7">
        <v>312</v>
      </c>
      <c r="L14" s="10" t="s">
        <v>97</v>
      </c>
      <c r="M14" s="7">
        <v>412</v>
      </c>
      <c r="N14" s="10"/>
      <c r="O14" s="7"/>
      <c r="P14" s="10"/>
      <c r="Q14" s="10"/>
      <c r="R14" s="10"/>
      <c r="S14" s="10"/>
      <c r="T14" s="10"/>
      <c r="U14" s="11"/>
      <c r="V14" s="11"/>
      <c r="W14" s="12"/>
    </row>
    <row r="15" spans="2:23" s="3" customFormat="1" ht="14.25">
      <c r="D15" s="1"/>
      <c r="E15" s="1"/>
      <c r="F15" s="10"/>
      <c r="G15" s="7"/>
      <c r="H15" s="10" t="s">
        <v>29</v>
      </c>
      <c r="I15" s="7">
        <v>213</v>
      </c>
      <c r="J15" s="10" t="s">
        <v>84</v>
      </c>
      <c r="K15" s="7">
        <v>313</v>
      </c>
      <c r="L15" s="10" t="s">
        <v>98</v>
      </c>
      <c r="M15" s="7">
        <v>413</v>
      </c>
      <c r="N15" s="10"/>
      <c r="O15" s="7"/>
      <c r="P15" s="10"/>
      <c r="Q15" s="10"/>
      <c r="R15" s="10"/>
      <c r="S15" s="10"/>
      <c r="T15" s="10"/>
      <c r="U15" s="11"/>
      <c r="V15" s="11"/>
      <c r="W15" s="12"/>
    </row>
    <row r="16" spans="2:23" s="3" customFormat="1" ht="14.25">
      <c r="D16" s="1"/>
      <c r="E16" s="1"/>
      <c r="F16" s="10"/>
      <c r="G16" s="7"/>
      <c r="H16" s="10" t="s">
        <v>58</v>
      </c>
      <c r="I16" s="7">
        <v>214</v>
      </c>
      <c r="J16" s="10" t="s">
        <v>85</v>
      </c>
      <c r="K16" s="7">
        <v>314</v>
      </c>
      <c r="L16" s="10" t="s">
        <v>99</v>
      </c>
      <c r="M16" s="7">
        <v>414</v>
      </c>
      <c r="N16" s="10"/>
      <c r="O16" s="7"/>
      <c r="P16" s="10"/>
      <c r="Q16" s="10"/>
      <c r="R16" s="10"/>
      <c r="S16" s="10"/>
      <c r="T16" s="10"/>
      <c r="U16" s="11"/>
      <c r="V16" s="11"/>
      <c r="W16" s="12"/>
    </row>
    <row r="17" spans="4:23" s="3" customFormat="1" ht="14.25">
      <c r="D17" s="1"/>
      <c r="E17" s="1"/>
      <c r="F17" s="10"/>
      <c r="G17" s="7"/>
      <c r="H17" s="10" t="s">
        <v>59</v>
      </c>
      <c r="I17" s="7">
        <v>215</v>
      </c>
      <c r="J17" s="10" t="s">
        <v>1227</v>
      </c>
      <c r="K17" s="7">
        <v>315</v>
      </c>
      <c r="L17" s="10" t="s">
        <v>100</v>
      </c>
      <c r="M17" s="7">
        <v>415</v>
      </c>
      <c r="N17" s="10"/>
      <c r="O17" s="7"/>
      <c r="P17" s="10"/>
      <c r="Q17" s="10"/>
      <c r="R17" s="10"/>
      <c r="S17" s="10"/>
      <c r="T17" s="10"/>
      <c r="U17" s="11"/>
      <c r="V17" s="11"/>
      <c r="W17" s="12"/>
    </row>
    <row r="18" spans="4:23" s="3" customFormat="1" ht="14.25">
      <c r="D18" s="1"/>
      <c r="E18" s="1"/>
      <c r="F18" s="10"/>
      <c r="G18" s="7"/>
      <c r="H18" s="10" t="s">
        <v>60</v>
      </c>
      <c r="I18" s="7">
        <v>216</v>
      </c>
      <c r="J18" s="10"/>
      <c r="K18" s="7"/>
      <c r="L18" s="10" t="s">
        <v>101</v>
      </c>
      <c r="M18" s="7">
        <v>416</v>
      </c>
      <c r="N18" s="10"/>
      <c r="O18" s="7"/>
      <c r="P18" s="10"/>
      <c r="Q18" s="10"/>
      <c r="R18" s="10"/>
      <c r="S18" s="10"/>
      <c r="T18" s="10"/>
      <c r="U18" s="11"/>
      <c r="V18" s="11"/>
      <c r="W18" s="12"/>
    </row>
    <row r="19" spans="4:23" s="3" customFormat="1" ht="14.25">
      <c r="D19" s="1"/>
      <c r="E19" s="1"/>
      <c r="F19" s="10"/>
      <c r="G19" s="7"/>
      <c r="H19" s="10" t="s">
        <v>61</v>
      </c>
      <c r="I19" s="7">
        <v>217</v>
      </c>
      <c r="J19" s="10"/>
      <c r="K19" s="7"/>
      <c r="L19" s="10" t="s">
        <v>1227</v>
      </c>
      <c r="M19" s="7">
        <v>417</v>
      </c>
      <c r="N19" s="10"/>
      <c r="O19" s="7"/>
      <c r="P19" s="10"/>
      <c r="Q19" s="10"/>
      <c r="R19" s="10"/>
      <c r="S19" s="10"/>
      <c r="T19" s="10"/>
      <c r="U19" s="11"/>
      <c r="V19" s="11"/>
      <c r="W19" s="12"/>
    </row>
    <row r="20" spans="4:23" s="3" customFormat="1" ht="14.25">
      <c r="D20" s="1"/>
      <c r="E20" s="1"/>
      <c r="F20" s="10"/>
      <c r="G20" s="7"/>
      <c r="H20" s="10" t="s">
        <v>62</v>
      </c>
      <c r="I20" s="7">
        <v>218</v>
      </c>
      <c r="J20" s="10"/>
      <c r="K20" s="7"/>
      <c r="L20" s="10"/>
      <c r="M20" s="7"/>
      <c r="N20" s="10"/>
      <c r="O20" s="7"/>
      <c r="P20" s="10"/>
      <c r="Q20" s="10"/>
      <c r="R20" s="10"/>
      <c r="S20" s="10"/>
      <c r="T20" s="10"/>
      <c r="U20" s="11"/>
      <c r="V20" s="11"/>
      <c r="W20" s="12"/>
    </row>
    <row r="21" spans="4:23" s="3" customFormat="1" ht="14.25">
      <c r="D21" s="1"/>
      <c r="E21" s="1"/>
      <c r="F21" s="10"/>
      <c r="G21" s="7"/>
      <c r="H21" s="10" t="s">
        <v>63</v>
      </c>
      <c r="I21" s="7">
        <v>219</v>
      </c>
      <c r="J21" s="10"/>
      <c r="K21" s="7"/>
      <c r="L21" s="10"/>
      <c r="M21" s="7"/>
      <c r="N21" s="10"/>
      <c r="O21" s="7"/>
      <c r="P21" s="10"/>
      <c r="Q21" s="10"/>
      <c r="R21" s="10"/>
      <c r="S21" s="10"/>
      <c r="T21" s="10"/>
      <c r="U21" s="11"/>
      <c r="V21" s="11"/>
      <c r="W21" s="12"/>
    </row>
    <row r="22" spans="4:23" s="3" customFormat="1" ht="14.25">
      <c r="D22" s="1"/>
      <c r="E22" s="1"/>
      <c r="F22" s="10"/>
      <c r="G22" s="7"/>
      <c r="H22" s="10" t="s">
        <v>64</v>
      </c>
      <c r="I22" s="7">
        <v>220</v>
      </c>
      <c r="J22" s="10"/>
      <c r="K22" s="7"/>
      <c r="L22" s="10"/>
      <c r="M22" s="7"/>
      <c r="N22" s="10"/>
      <c r="O22" s="7"/>
      <c r="P22" s="10"/>
      <c r="Q22" s="10"/>
      <c r="R22" s="10"/>
      <c r="S22" s="10"/>
      <c r="T22" s="10"/>
      <c r="U22" s="11"/>
      <c r="V22" s="11"/>
      <c r="W22" s="12"/>
    </row>
    <row r="23" spans="4:23" s="3" customFormat="1" ht="14.25">
      <c r="D23" s="1"/>
      <c r="E23" s="1"/>
      <c r="F23" s="10"/>
      <c r="G23" s="7"/>
      <c r="H23" s="10" t="s">
        <v>65</v>
      </c>
      <c r="I23" s="7">
        <v>221</v>
      </c>
      <c r="J23" s="10"/>
      <c r="K23" s="7"/>
      <c r="L23" s="10"/>
      <c r="M23" s="7"/>
      <c r="N23" s="10"/>
      <c r="O23" s="7"/>
      <c r="P23" s="10"/>
      <c r="Q23" s="10"/>
      <c r="R23" s="10"/>
      <c r="S23" s="10"/>
      <c r="T23" s="10"/>
      <c r="U23" s="11"/>
      <c r="V23" s="11"/>
      <c r="W23" s="12"/>
    </row>
    <row r="24" spans="4:23" s="3" customFormat="1" ht="14.25">
      <c r="D24" s="1"/>
      <c r="E24" s="1"/>
      <c r="F24" s="10"/>
      <c r="G24" s="7"/>
      <c r="H24" s="10" t="s">
        <v>66</v>
      </c>
      <c r="I24" s="7">
        <v>222</v>
      </c>
      <c r="J24" s="10"/>
      <c r="K24" s="7"/>
      <c r="L24" s="10"/>
      <c r="M24" s="7"/>
      <c r="N24" s="10"/>
      <c r="O24" s="7"/>
      <c r="P24" s="10"/>
      <c r="Q24" s="10"/>
      <c r="R24" s="10"/>
      <c r="S24" s="10"/>
      <c r="T24" s="10"/>
      <c r="U24" s="11"/>
      <c r="V24" s="11"/>
      <c r="W24" s="12"/>
    </row>
    <row r="25" spans="4:23" s="3" customFormat="1" ht="14.25">
      <c r="D25" s="1"/>
      <c r="E25" s="1"/>
      <c r="F25" s="10"/>
      <c r="G25" s="7"/>
      <c r="H25" s="10" t="s">
        <v>67</v>
      </c>
      <c r="I25" s="7">
        <v>223</v>
      </c>
      <c r="J25" s="10"/>
      <c r="K25" s="7"/>
      <c r="L25" s="10"/>
      <c r="M25" s="7"/>
      <c r="N25" s="10"/>
      <c r="O25" s="7"/>
      <c r="P25" s="10"/>
      <c r="Q25" s="10"/>
      <c r="R25" s="10"/>
      <c r="S25" s="10"/>
      <c r="T25" s="10"/>
      <c r="U25" s="11"/>
      <c r="V25" s="11"/>
      <c r="W25" s="12"/>
    </row>
    <row r="26" spans="4:23" s="3" customFormat="1" ht="14.25">
      <c r="D26" s="1"/>
      <c r="E26" s="1"/>
      <c r="F26" s="10"/>
      <c r="G26" s="7"/>
      <c r="H26" s="10" t="s">
        <v>68</v>
      </c>
      <c r="I26" s="7">
        <v>224</v>
      </c>
      <c r="J26" s="10"/>
      <c r="K26" s="7"/>
      <c r="L26" s="10"/>
      <c r="M26" s="7"/>
      <c r="N26" s="10"/>
      <c r="O26" s="7"/>
      <c r="P26" s="10"/>
      <c r="Q26" s="10"/>
      <c r="R26" s="10"/>
      <c r="S26" s="10"/>
      <c r="T26" s="10"/>
      <c r="U26" s="11"/>
      <c r="V26" s="11"/>
      <c r="W26" s="12"/>
    </row>
    <row r="27" spans="4:23" s="3" customFormat="1" ht="14.25">
      <c r="D27" s="1"/>
      <c r="E27" s="1"/>
      <c r="F27" s="10"/>
      <c r="G27" s="7"/>
      <c r="H27" s="10" t="s">
        <v>23</v>
      </c>
      <c r="I27" s="7">
        <v>225</v>
      </c>
      <c r="J27" s="10"/>
      <c r="K27" s="7"/>
      <c r="L27" s="10"/>
      <c r="M27" s="7"/>
      <c r="N27" s="10"/>
      <c r="O27" s="7"/>
      <c r="P27" s="10"/>
      <c r="Q27" s="10"/>
      <c r="R27" s="10"/>
      <c r="S27" s="10"/>
      <c r="T27" s="10"/>
      <c r="U27" s="11"/>
      <c r="V27" s="11"/>
      <c r="W27" s="12"/>
    </row>
    <row r="28" spans="4:23" s="3" customFormat="1" ht="14.25">
      <c r="D28" s="1"/>
      <c r="E28" s="1"/>
      <c r="F28" s="10"/>
      <c r="G28" s="7"/>
      <c r="H28" s="10" t="s">
        <v>69</v>
      </c>
      <c r="I28" s="7">
        <v>226</v>
      </c>
      <c r="J28" s="10"/>
      <c r="K28" s="7"/>
      <c r="L28" s="10"/>
      <c r="M28" s="7"/>
      <c r="N28" s="10"/>
      <c r="O28" s="7"/>
      <c r="P28" s="10"/>
      <c r="Q28" s="10"/>
      <c r="R28" s="10"/>
      <c r="S28" s="10"/>
      <c r="T28" s="10"/>
      <c r="U28" s="11"/>
      <c r="V28" s="11"/>
      <c r="W28" s="12"/>
    </row>
    <row r="29" spans="4:23" s="3" customFormat="1" ht="14.25">
      <c r="D29" s="1"/>
      <c r="E29" s="1"/>
      <c r="F29" s="10"/>
      <c r="G29" s="7"/>
      <c r="H29" s="10" t="s">
        <v>70</v>
      </c>
      <c r="I29" s="7">
        <v>227</v>
      </c>
      <c r="J29" s="10"/>
      <c r="K29" s="7"/>
      <c r="L29" s="10"/>
      <c r="M29" s="7"/>
      <c r="N29" s="10"/>
      <c r="O29" s="7"/>
      <c r="P29" s="10"/>
      <c r="Q29" s="10"/>
      <c r="R29" s="10"/>
      <c r="S29" s="10"/>
      <c r="T29" s="10"/>
      <c r="U29" s="11"/>
      <c r="V29" s="11"/>
      <c r="W29" s="12"/>
    </row>
    <row r="30" spans="4:23" s="3" customFormat="1" ht="14.25">
      <c r="D30" s="1"/>
      <c r="E30" s="1"/>
      <c r="F30" s="10"/>
      <c r="G30" s="7"/>
      <c r="H30" s="10" t="s">
        <v>71</v>
      </c>
      <c r="I30" s="7">
        <v>228</v>
      </c>
      <c r="J30" s="10"/>
      <c r="K30" s="7"/>
      <c r="L30" s="10"/>
      <c r="M30" s="7"/>
      <c r="N30" s="10"/>
      <c r="O30" s="7"/>
      <c r="P30" s="10"/>
      <c r="Q30" s="10"/>
      <c r="R30" s="10"/>
      <c r="S30" s="10"/>
      <c r="T30" s="10"/>
      <c r="U30" s="11"/>
      <c r="V30" s="11"/>
      <c r="W30" s="12"/>
    </row>
    <row r="31" spans="4:23" s="3" customFormat="1" ht="14.25">
      <c r="D31" s="1"/>
      <c r="E31" s="1"/>
      <c r="F31" s="10"/>
      <c r="G31" s="7"/>
      <c r="H31" s="10" t="s">
        <v>72</v>
      </c>
      <c r="I31" s="7">
        <v>229</v>
      </c>
      <c r="J31" s="10"/>
      <c r="K31" s="7"/>
      <c r="L31" s="10"/>
      <c r="M31" s="7"/>
      <c r="N31" s="10"/>
      <c r="O31" s="7"/>
      <c r="P31" s="10"/>
      <c r="Q31" s="10"/>
      <c r="R31" s="10"/>
      <c r="S31" s="10"/>
      <c r="T31" s="10"/>
      <c r="U31" s="11"/>
      <c r="V31" s="11"/>
      <c r="W31" s="12"/>
    </row>
    <row r="32" spans="4:23" s="3" customFormat="1" ht="14.25">
      <c r="D32" s="1"/>
      <c r="E32" s="1"/>
      <c r="F32" s="10"/>
      <c r="G32" s="7"/>
      <c r="H32" s="10" t="s">
        <v>73</v>
      </c>
      <c r="I32" s="7">
        <v>230</v>
      </c>
      <c r="J32" s="10"/>
      <c r="K32" s="7"/>
      <c r="L32" s="10"/>
      <c r="M32" s="7"/>
      <c r="N32" s="10"/>
      <c r="O32" s="7"/>
      <c r="P32" s="10"/>
      <c r="Q32" s="10"/>
      <c r="R32" s="10"/>
      <c r="S32" s="10"/>
      <c r="T32" s="10"/>
      <c r="U32" s="11"/>
      <c r="V32" s="11"/>
      <c r="W32" s="12"/>
    </row>
    <row r="33" spans="4:23" s="3" customFormat="1" ht="14.25">
      <c r="D33" s="1"/>
      <c r="E33" s="1"/>
      <c r="F33" s="10"/>
      <c r="G33" s="7"/>
      <c r="H33" s="10" t="s">
        <v>74</v>
      </c>
      <c r="I33" s="7">
        <v>231</v>
      </c>
      <c r="J33" s="10"/>
      <c r="K33" s="7"/>
      <c r="L33" s="10"/>
      <c r="M33" s="7"/>
      <c r="N33" s="10"/>
      <c r="O33" s="7"/>
      <c r="P33" s="10"/>
      <c r="Q33" s="10"/>
      <c r="R33" s="10"/>
      <c r="S33" s="10"/>
      <c r="T33" s="10"/>
      <c r="U33" s="11"/>
      <c r="V33" s="11"/>
      <c r="W33" s="12"/>
    </row>
    <row r="34" spans="4:23" s="3" customFormat="1" thickBot="1">
      <c r="D34" s="1"/>
      <c r="E34" s="1"/>
      <c r="F34" s="13"/>
      <c r="G34" s="14"/>
      <c r="H34" s="13" t="s">
        <v>1227</v>
      </c>
      <c r="I34" s="14">
        <v>232</v>
      </c>
      <c r="J34" s="13"/>
      <c r="K34" s="14"/>
      <c r="L34" s="13"/>
      <c r="M34" s="14"/>
      <c r="N34" s="13"/>
      <c r="O34" s="14"/>
      <c r="P34" s="13"/>
      <c r="Q34" s="13"/>
      <c r="R34" s="13"/>
      <c r="S34" s="13"/>
      <c r="T34" s="13"/>
      <c r="U34" s="15"/>
      <c r="V34" s="15"/>
      <c r="W34" s="16"/>
    </row>
    <row r="35" spans="4:23" s="3" customFormat="1" ht="14.25">
      <c r="D35" s="1"/>
      <c r="E35" s="1"/>
      <c r="G35" s="1"/>
      <c r="I35" s="1"/>
      <c r="K35" s="1"/>
      <c r="M35" s="1"/>
      <c r="O35" s="1"/>
    </row>
  </sheetData>
  <mergeCells count="1">
    <mergeCell ref="F1:W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K906"/>
  <sheetViews>
    <sheetView topLeftCell="A18" zoomScale="70" zoomScaleNormal="70" workbookViewId="0">
      <selection activeCell="E35" sqref="E35"/>
    </sheetView>
  </sheetViews>
  <sheetFormatPr defaultColWidth="9.140625" defaultRowHeight="15" customHeight="1"/>
  <cols>
    <col min="1" max="1" width="23.85546875" customWidth="1"/>
    <col min="2" max="5" width="30" style="3" customWidth="1"/>
    <col min="6" max="7" width="30.7109375" style="3" customWidth="1"/>
    <col min="8" max="8" width="37" style="3" customWidth="1"/>
    <col min="9" max="9" width="9.140625" style="3"/>
    <col min="10" max="10" width="29.7109375" style="3" bestFit="1" customWidth="1"/>
    <col min="11" max="11" width="49.28515625" style="3" bestFit="1" customWidth="1"/>
    <col min="12" max="16384" width="9.140625" style="3"/>
  </cols>
  <sheetData>
    <row r="1" spans="2:11" ht="15" customHeight="1">
      <c r="B1" s="94" t="s">
        <v>1014</v>
      </c>
      <c r="C1" s="94" t="s">
        <v>1015</v>
      </c>
      <c r="D1" s="94" t="s">
        <v>1184</v>
      </c>
      <c r="E1" s="94" t="s">
        <v>1185</v>
      </c>
      <c r="H1" s="95" t="s">
        <v>1245</v>
      </c>
      <c r="J1" s="94" t="s">
        <v>1015</v>
      </c>
      <c r="K1" s="94"/>
    </row>
    <row r="2" spans="2:11" ht="15" customHeight="1">
      <c r="B2" s="71" t="s">
        <v>1007</v>
      </c>
      <c r="C2" s="71" t="s">
        <v>1102</v>
      </c>
      <c r="D2" s="3" t="s">
        <v>1228</v>
      </c>
      <c r="E2" s="3" t="s">
        <v>1238</v>
      </c>
      <c r="H2" s="70" t="s">
        <v>137</v>
      </c>
      <c r="J2" s="86" t="s">
        <v>1016</v>
      </c>
      <c r="K2" s="87" t="s">
        <v>1017</v>
      </c>
    </row>
    <row r="3" spans="2:11" ht="15" customHeight="1">
      <c r="B3" s="71" t="s">
        <v>997</v>
      </c>
      <c r="C3" s="71" t="s">
        <v>1103</v>
      </c>
      <c r="D3" s="3" t="s">
        <v>665</v>
      </c>
      <c r="E3" s="3" t="s">
        <v>1203</v>
      </c>
      <c r="H3" s="71" t="s">
        <v>138</v>
      </c>
      <c r="J3" s="86" t="s">
        <v>1016</v>
      </c>
      <c r="K3" s="88" t="s">
        <v>1018</v>
      </c>
    </row>
    <row r="4" spans="2:11" ht="15" customHeight="1">
      <c r="B4" s="71" t="s">
        <v>998</v>
      </c>
      <c r="C4" s="71" t="s">
        <v>1104</v>
      </c>
      <c r="D4" s="3" t="s">
        <v>1229</v>
      </c>
      <c r="E4" s="3" t="s">
        <v>1239</v>
      </c>
      <c r="H4" s="71" t="s">
        <v>139</v>
      </c>
      <c r="J4" s="86" t="s">
        <v>1016</v>
      </c>
      <c r="K4" s="88" t="s">
        <v>1019</v>
      </c>
    </row>
    <row r="5" spans="2:11" ht="15" customHeight="1">
      <c r="B5" s="71" t="s">
        <v>987</v>
      </c>
      <c r="C5" s="71" t="s">
        <v>1199</v>
      </c>
      <c r="D5" s="3" t="s">
        <v>1230</v>
      </c>
      <c r="E5" s="3" t="s">
        <v>1240</v>
      </c>
      <c r="H5" s="71" t="s">
        <v>140</v>
      </c>
      <c r="J5" s="86" t="s">
        <v>1016</v>
      </c>
      <c r="K5" s="88" t="s">
        <v>1020</v>
      </c>
    </row>
    <row r="6" spans="2:11" ht="15" customHeight="1">
      <c r="B6" s="71" t="s">
        <v>988</v>
      </c>
      <c r="C6" s="71" t="s">
        <v>1200</v>
      </c>
      <c r="D6" s="3" t="s">
        <v>1231</v>
      </c>
      <c r="E6" s="3" t="s">
        <v>1241</v>
      </c>
      <c r="H6" s="71" t="s">
        <v>141</v>
      </c>
      <c r="J6" s="86" t="s">
        <v>1016</v>
      </c>
      <c r="K6" s="89" t="s">
        <v>1021</v>
      </c>
    </row>
    <row r="7" spans="2:11" ht="15" customHeight="1">
      <c r="B7" s="71" t="s">
        <v>999</v>
      </c>
      <c r="C7" s="71" t="s">
        <v>1201</v>
      </c>
      <c r="D7" s="3" t="s">
        <v>1232</v>
      </c>
      <c r="E7" s="3" t="s">
        <v>1242</v>
      </c>
      <c r="H7" s="71" t="s">
        <v>142</v>
      </c>
      <c r="J7" s="86" t="s">
        <v>1016</v>
      </c>
      <c r="K7" s="88" t="s">
        <v>1022</v>
      </c>
    </row>
    <row r="8" spans="2:11" ht="15" customHeight="1">
      <c r="B8" s="71" t="s">
        <v>1186</v>
      </c>
      <c r="C8" s="71" t="s">
        <v>1099</v>
      </c>
      <c r="D8" s="3" t="s">
        <v>1236</v>
      </c>
      <c r="E8" s="3" t="s">
        <v>1243</v>
      </c>
      <c r="H8" s="71" t="s">
        <v>143</v>
      </c>
      <c r="J8" s="86" t="s">
        <v>1016</v>
      </c>
      <c r="K8" s="88" t="s">
        <v>1023</v>
      </c>
    </row>
    <row r="9" spans="2:11" ht="15" customHeight="1">
      <c r="B9" s="71" t="s">
        <v>1187</v>
      </c>
      <c r="C9" s="71" t="s">
        <v>1202</v>
      </c>
      <c r="D9" s="3" t="s">
        <v>1233</v>
      </c>
      <c r="E9" s="3" t="s">
        <v>1244</v>
      </c>
      <c r="H9" s="71" t="s">
        <v>144</v>
      </c>
      <c r="J9" s="86" t="s">
        <v>1016</v>
      </c>
      <c r="K9" s="88" t="s">
        <v>1024</v>
      </c>
    </row>
    <row r="10" spans="2:11" ht="15" customHeight="1">
      <c r="B10" s="71" t="s">
        <v>1188</v>
      </c>
      <c r="C10" s="71" t="s">
        <v>1127</v>
      </c>
      <c r="D10" s="3" t="s">
        <v>1234</v>
      </c>
      <c r="E10" s="3" t="s">
        <v>1227</v>
      </c>
      <c r="H10" s="71" t="s">
        <v>145</v>
      </c>
      <c r="J10" s="86" t="s">
        <v>1016</v>
      </c>
      <c r="K10" s="88" t="s">
        <v>1025</v>
      </c>
    </row>
    <row r="11" spans="2:11" ht="15" customHeight="1">
      <c r="B11" s="71" t="s">
        <v>1189</v>
      </c>
      <c r="C11" s="71" t="s">
        <v>1203</v>
      </c>
      <c r="D11" s="3" t="s">
        <v>1237</v>
      </c>
      <c r="H11" s="71" t="s">
        <v>146</v>
      </c>
      <c r="J11" s="90"/>
      <c r="K11" s="91"/>
    </row>
    <row r="12" spans="2:11" ht="15" customHeight="1">
      <c r="B12" s="71" t="s">
        <v>989</v>
      </c>
      <c r="C12" s="71" t="s">
        <v>1026</v>
      </c>
      <c r="D12" s="3" t="s">
        <v>1235</v>
      </c>
      <c r="H12" s="71" t="s">
        <v>147</v>
      </c>
      <c r="J12" s="17" t="s">
        <v>1026</v>
      </c>
      <c r="K12" s="88" t="s">
        <v>1027</v>
      </c>
    </row>
    <row r="13" spans="2:11" ht="15" customHeight="1">
      <c r="B13" s="71" t="s">
        <v>990</v>
      </c>
      <c r="C13" s="71" t="s">
        <v>1204</v>
      </c>
      <c r="D13" s="3" t="s">
        <v>1227</v>
      </c>
      <c r="H13" s="71" t="s">
        <v>149</v>
      </c>
      <c r="J13" s="90"/>
      <c r="K13" s="91"/>
    </row>
    <row r="14" spans="2:11" ht="15" customHeight="1">
      <c r="B14" s="71" t="s">
        <v>1190</v>
      </c>
      <c r="C14" s="71" t="s">
        <v>1205</v>
      </c>
      <c r="H14" s="71" t="s">
        <v>150</v>
      </c>
      <c r="J14" s="38" t="s">
        <v>1028</v>
      </c>
      <c r="K14" s="88" t="s">
        <v>1029</v>
      </c>
    </row>
    <row r="15" spans="2:11" ht="15" customHeight="1">
      <c r="B15" s="71" t="s">
        <v>1003</v>
      </c>
      <c r="C15" s="71" t="s">
        <v>1206</v>
      </c>
      <c r="H15" s="71" t="s">
        <v>151</v>
      </c>
      <c r="J15" s="38" t="s">
        <v>1028</v>
      </c>
      <c r="K15" s="88" t="s">
        <v>1030</v>
      </c>
    </row>
    <row r="16" spans="2:11" ht="15" customHeight="1">
      <c r="B16" s="71" t="s">
        <v>1012</v>
      </c>
      <c r="C16" s="71" t="s">
        <v>1129</v>
      </c>
      <c r="H16" s="71" t="s">
        <v>152</v>
      </c>
      <c r="J16" s="38" t="s">
        <v>1028</v>
      </c>
      <c r="K16" s="88" t="s">
        <v>1031</v>
      </c>
    </row>
    <row r="17" spans="2:11" ht="15" customHeight="1">
      <c r="B17" s="71" t="s">
        <v>1000</v>
      </c>
      <c r="C17" s="71" t="s">
        <v>1207</v>
      </c>
      <c r="H17" s="71" t="s">
        <v>153</v>
      </c>
      <c r="J17" s="38" t="s">
        <v>1028</v>
      </c>
      <c r="K17" s="88" t="s">
        <v>1032</v>
      </c>
    </row>
    <row r="18" spans="2:11" ht="15" customHeight="1">
      <c r="B18" s="71" t="s">
        <v>148</v>
      </c>
      <c r="C18" s="71" t="s">
        <v>1208</v>
      </c>
      <c r="H18" s="71" t="s">
        <v>154</v>
      </c>
      <c r="J18" s="38" t="s">
        <v>1028</v>
      </c>
      <c r="K18" s="88" t="s">
        <v>1033</v>
      </c>
    </row>
    <row r="19" spans="2:11" ht="15" customHeight="1">
      <c r="B19" s="71" t="s">
        <v>1004</v>
      </c>
      <c r="C19" s="71" t="s">
        <v>1147</v>
      </c>
      <c r="H19" s="71" t="s">
        <v>155</v>
      </c>
      <c r="J19" s="38" t="s">
        <v>1028</v>
      </c>
      <c r="K19" s="88" t="s">
        <v>1034</v>
      </c>
    </row>
    <row r="20" spans="2:11" ht="15" customHeight="1">
      <c r="B20" s="71" t="s">
        <v>1013</v>
      </c>
      <c r="C20" s="71" t="s">
        <v>1148</v>
      </c>
      <c r="H20" s="72" t="s">
        <v>156</v>
      </c>
      <c r="J20" s="38" t="s">
        <v>1028</v>
      </c>
      <c r="K20" s="88" t="s">
        <v>1035</v>
      </c>
    </row>
    <row r="21" spans="2:11" ht="15" customHeight="1">
      <c r="B21" s="71" t="s">
        <v>1001</v>
      </c>
      <c r="C21" s="71" t="s">
        <v>1209</v>
      </c>
      <c r="H21" s="72" t="s">
        <v>157</v>
      </c>
      <c r="J21" s="38" t="s">
        <v>1028</v>
      </c>
      <c r="K21" s="88" t="s">
        <v>1036</v>
      </c>
    </row>
    <row r="22" spans="2:11" ht="15" customHeight="1">
      <c r="B22" s="71" t="s">
        <v>1011</v>
      </c>
      <c r="C22" s="71" t="s">
        <v>1210</v>
      </c>
      <c r="H22" s="71" t="s">
        <v>158</v>
      </c>
      <c r="J22" s="90"/>
      <c r="K22" s="91"/>
    </row>
    <row r="23" spans="2:11" ht="15" customHeight="1">
      <c r="B23" s="71" t="s">
        <v>991</v>
      </c>
      <c r="C23" s="71" t="s">
        <v>1149</v>
      </c>
      <c r="H23" s="71" t="s">
        <v>159</v>
      </c>
      <c r="J23" s="37" t="s">
        <v>1037</v>
      </c>
      <c r="K23" s="88" t="s">
        <v>1038</v>
      </c>
    </row>
    <row r="24" spans="2:11" ht="15" customHeight="1">
      <c r="B24" s="71" t="s">
        <v>992</v>
      </c>
      <c r="C24" s="71" t="s">
        <v>1211</v>
      </c>
      <c r="H24" s="71" t="s">
        <v>160</v>
      </c>
      <c r="J24" s="37" t="s">
        <v>1037</v>
      </c>
      <c r="K24" s="88" t="s">
        <v>1039</v>
      </c>
    </row>
    <row r="25" spans="2:11" ht="15" customHeight="1">
      <c r="B25" s="71" t="s">
        <v>992</v>
      </c>
      <c r="C25" s="71" t="s">
        <v>1212</v>
      </c>
      <c r="H25" s="71" t="s">
        <v>161</v>
      </c>
      <c r="J25" s="37" t="s">
        <v>1037</v>
      </c>
      <c r="K25" s="88" t="s">
        <v>1040</v>
      </c>
    </row>
    <row r="26" spans="2:11" ht="15" customHeight="1">
      <c r="B26" s="71" t="s">
        <v>1005</v>
      </c>
      <c r="C26" s="71" t="s">
        <v>1213</v>
      </c>
      <c r="H26" s="71" t="s">
        <v>162</v>
      </c>
      <c r="J26" s="37" t="s">
        <v>1037</v>
      </c>
      <c r="K26" s="88" t="s">
        <v>1041</v>
      </c>
    </row>
    <row r="27" spans="2:11" ht="15" customHeight="1">
      <c r="B27" s="71" t="s">
        <v>993</v>
      </c>
      <c r="C27" s="71" t="s">
        <v>1053</v>
      </c>
      <c r="H27" s="71" t="s">
        <v>163</v>
      </c>
      <c r="J27" s="37" t="s">
        <v>1037</v>
      </c>
      <c r="K27" s="88" t="s">
        <v>1042</v>
      </c>
    </row>
    <row r="28" spans="2:11" ht="15" customHeight="1">
      <c r="B28" s="71" t="s">
        <v>1191</v>
      </c>
      <c r="C28" s="71" t="s">
        <v>1054</v>
      </c>
      <c r="H28" s="71" t="s">
        <v>164</v>
      </c>
      <c r="J28" s="37" t="s">
        <v>1037</v>
      </c>
      <c r="K28" s="88" t="s">
        <v>1043</v>
      </c>
    </row>
    <row r="29" spans="2:11" ht="15" customHeight="1">
      <c r="B29" s="71" t="s">
        <v>1192</v>
      </c>
      <c r="C29" s="71" t="s">
        <v>1050</v>
      </c>
      <c r="H29" s="71" t="s">
        <v>165</v>
      </c>
      <c r="J29" s="37" t="s">
        <v>1037</v>
      </c>
      <c r="K29" s="88" t="s">
        <v>1044</v>
      </c>
    </row>
    <row r="30" spans="2:11" ht="15" customHeight="1">
      <c r="B30" s="71" t="s">
        <v>644</v>
      </c>
      <c r="C30" s="71" t="s">
        <v>1155</v>
      </c>
      <c r="H30" s="73"/>
      <c r="J30" s="37" t="s">
        <v>1037</v>
      </c>
      <c r="K30" s="88" t="s">
        <v>1045</v>
      </c>
    </row>
    <row r="31" spans="2:11" ht="15" customHeight="1">
      <c r="B31" s="71" t="s">
        <v>994</v>
      </c>
      <c r="C31" s="71" t="s">
        <v>1055</v>
      </c>
      <c r="H31" s="71" t="s">
        <v>166</v>
      </c>
      <c r="J31" s="37" t="s">
        <v>1037</v>
      </c>
      <c r="K31" s="88" t="s">
        <v>1046</v>
      </c>
    </row>
    <row r="32" spans="2:11" ht="15" customHeight="1">
      <c r="B32" s="71" t="s">
        <v>994</v>
      </c>
      <c r="C32" s="71" t="s">
        <v>1214</v>
      </c>
      <c r="H32" s="71" t="s">
        <v>167</v>
      </c>
      <c r="J32" s="37" t="s">
        <v>1037</v>
      </c>
      <c r="K32" s="88" t="s">
        <v>1047</v>
      </c>
    </row>
    <row r="33" spans="2:11" ht="15" customHeight="1">
      <c r="B33" s="71" t="s">
        <v>1008</v>
      </c>
      <c r="C33" s="71" t="s">
        <v>1156</v>
      </c>
      <c r="H33" s="71" t="s">
        <v>168</v>
      </c>
      <c r="J33" s="37" t="s">
        <v>1037</v>
      </c>
      <c r="K33" s="88" t="s">
        <v>1048</v>
      </c>
    </row>
    <row r="34" spans="2:11" ht="15" customHeight="1">
      <c r="B34" s="71" t="s">
        <v>1193</v>
      </c>
      <c r="C34" s="71" t="s">
        <v>1133</v>
      </c>
      <c r="H34" s="71" t="s">
        <v>169</v>
      </c>
      <c r="J34" s="90"/>
      <c r="K34" s="91"/>
    </row>
    <row r="35" spans="2:11" ht="15" customHeight="1">
      <c r="B35" s="71" t="s">
        <v>995</v>
      </c>
      <c r="C35" s="71" t="s">
        <v>1157</v>
      </c>
      <c r="H35" s="71" t="s">
        <v>170</v>
      </c>
      <c r="J35" s="3" t="s">
        <v>1049</v>
      </c>
      <c r="K35" s="88" t="s">
        <v>1050</v>
      </c>
    </row>
    <row r="36" spans="2:11" ht="15" customHeight="1">
      <c r="B36" s="71" t="s">
        <v>1195</v>
      </c>
      <c r="C36" s="71" t="s">
        <v>1158</v>
      </c>
      <c r="H36" s="72" t="s">
        <v>171</v>
      </c>
      <c r="J36" s="3" t="s">
        <v>1049</v>
      </c>
      <c r="K36" s="88" t="s">
        <v>1051</v>
      </c>
    </row>
    <row r="37" spans="2:11" ht="15" customHeight="1">
      <c r="B37" s="71" t="s">
        <v>1194</v>
      </c>
      <c r="C37" s="88" t="s">
        <v>1163</v>
      </c>
      <c r="H37" s="71" t="s">
        <v>172</v>
      </c>
      <c r="J37" s="90"/>
      <c r="K37" s="91"/>
    </row>
    <row r="38" spans="2:11" ht="15" customHeight="1">
      <c r="B38" s="71" t="s">
        <v>1009</v>
      </c>
      <c r="C38" s="88" t="s">
        <v>1216</v>
      </c>
      <c r="H38" s="71" t="s">
        <v>173</v>
      </c>
      <c r="J38" s="3" t="s">
        <v>1052</v>
      </c>
      <c r="K38" s="88" t="s">
        <v>1053</v>
      </c>
    </row>
    <row r="39" spans="2:11" ht="15" customHeight="1">
      <c r="B39" s="71" t="s">
        <v>1002</v>
      </c>
      <c r="C39" s="88" t="s">
        <v>1215</v>
      </c>
      <c r="H39" s="71" t="s">
        <v>174</v>
      </c>
      <c r="J39" s="3" t="s">
        <v>1052</v>
      </c>
      <c r="K39" s="88" t="s">
        <v>1054</v>
      </c>
    </row>
    <row r="40" spans="2:11" ht="15" customHeight="1">
      <c r="B40" s="71" t="s">
        <v>1006</v>
      </c>
      <c r="C40" s="71" t="s">
        <v>1217</v>
      </c>
      <c r="H40" s="71" t="s">
        <v>175</v>
      </c>
      <c r="J40" s="3" t="s">
        <v>1052</v>
      </c>
      <c r="K40" s="88" t="s">
        <v>1055</v>
      </c>
    </row>
    <row r="41" spans="2:11" ht="15" customHeight="1">
      <c r="B41" s="71" t="s">
        <v>996</v>
      </c>
      <c r="C41" s="71" t="s">
        <v>1218</v>
      </c>
      <c r="H41" s="71" t="s">
        <v>176</v>
      </c>
      <c r="J41" s="3" t="s">
        <v>1052</v>
      </c>
      <c r="K41" s="88" t="s">
        <v>1056</v>
      </c>
    </row>
    <row r="42" spans="2:11" ht="15" customHeight="1">
      <c r="B42" s="71" t="s">
        <v>1197</v>
      </c>
      <c r="C42" s="71" t="s">
        <v>1138</v>
      </c>
      <c r="H42" s="71" t="s">
        <v>177</v>
      </c>
      <c r="J42" s="3" t="s">
        <v>1052</v>
      </c>
      <c r="K42" s="88" t="s">
        <v>1057</v>
      </c>
    </row>
    <row r="43" spans="2:11" ht="15" customHeight="1">
      <c r="B43" s="71" t="s">
        <v>1196</v>
      </c>
      <c r="C43" s="71" t="s">
        <v>1139</v>
      </c>
      <c r="H43" s="72" t="s">
        <v>178</v>
      </c>
      <c r="J43" s="90"/>
      <c r="K43" s="91"/>
    </row>
    <row r="44" spans="2:11" ht="15" customHeight="1">
      <c r="B44" s="71" t="s">
        <v>1198</v>
      </c>
      <c r="C44" s="71" t="s">
        <v>1100</v>
      </c>
      <c r="H44" s="71" t="s">
        <v>179</v>
      </c>
      <c r="J44" s="3" t="s">
        <v>1058</v>
      </c>
      <c r="K44" s="88" t="s">
        <v>1059</v>
      </c>
    </row>
    <row r="45" spans="2:11" ht="15" customHeight="1">
      <c r="B45" s="71" t="s">
        <v>129</v>
      </c>
      <c r="C45" s="71" t="s">
        <v>1219</v>
      </c>
      <c r="H45" s="71" t="s">
        <v>180</v>
      </c>
      <c r="J45" s="3" t="s">
        <v>1058</v>
      </c>
      <c r="K45" s="88" t="s">
        <v>1060</v>
      </c>
    </row>
    <row r="46" spans="2:11" ht="15" customHeight="1">
      <c r="B46" s="71" t="s">
        <v>1010</v>
      </c>
      <c r="C46" s="71" t="s">
        <v>1056</v>
      </c>
      <c r="H46" s="71" t="s">
        <v>181</v>
      </c>
      <c r="J46" s="3" t="s">
        <v>1058</v>
      </c>
      <c r="K46" s="88" t="s">
        <v>1061</v>
      </c>
    </row>
    <row r="47" spans="2:11" ht="15" customHeight="1">
      <c r="B47" s="71" t="s">
        <v>1227</v>
      </c>
      <c r="C47" s="71" t="s">
        <v>1171</v>
      </c>
      <c r="H47" s="71" t="s">
        <v>182</v>
      </c>
      <c r="J47" s="3" t="s">
        <v>1058</v>
      </c>
      <c r="K47" s="88" t="s">
        <v>1062</v>
      </c>
    </row>
    <row r="48" spans="2:11" ht="15" customHeight="1">
      <c r="C48" s="71" t="s">
        <v>1220</v>
      </c>
      <c r="H48" s="71" t="s">
        <v>183</v>
      </c>
      <c r="J48" s="3" t="s">
        <v>1058</v>
      </c>
      <c r="K48" s="88" t="s">
        <v>1063</v>
      </c>
    </row>
    <row r="49" spans="2:11" ht="15" customHeight="1">
      <c r="B49" s="71"/>
      <c r="C49" s="71" t="s">
        <v>1221</v>
      </c>
      <c r="H49" s="71" t="s">
        <v>184</v>
      </c>
      <c r="J49" s="3" t="s">
        <v>1058</v>
      </c>
      <c r="K49" s="88" t="s">
        <v>1064</v>
      </c>
    </row>
    <row r="50" spans="2:11" ht="15" customHeight="1">
      <c r="B50" s="71"/>
      <c r="C50" s="71" t="s">
        <v>1140</v>
      </c>
      <c r="H50" s="71" t="s">
        <v>185</v>
      </c>
      <c r="J50" s="3" t="s">
        <v>1058</v>
      </c>
      <c r="K50" s="88" t="s">
        <v>1065</v>
      </c>
    </row>
    <row r="51" spans="2:11" ht="15" customHeight="1">
      <c r="B51" s="71"/>
      <c r="C51" s="71" t="s">
        <v>676</v>
      </c>
      <c r="H51" s="71" t="s">
        <v>186</v>
      </c>
      <c r="J51" s="90"/>
      <c r="K51" s="91"/>
    </row>
    <row r="52" spans="2:11" ht="15" customHeight="1">
      <c r="C52" s="71" t="s">
        <v>1222</v>
      </c>
      <c r="H52" s="74" t="s">
        <v>187</v>
      </c>
      <c r="J52" s="3" t="s">
        <v>1066</v>
      </c>
      <c r="K52" s="88" t="s">
        <v>1067</v>
      </c>
    </row>
    <row r="53" spans="2:11" ht="15" customHeight="1">
      <c r="C53" s="71" t="s">
        <v>1223</v>
      </c>
      <c r="H53" s="71" t="s">
        <v>187</v>
      </c>
      <c r="J53" s="3" t="s">
        <v>1066</v>
      </c>
      <c r="K53" s="88" t="s">
        <v>1068</v>
      </c>
    </row>
    <row r="54" spans="2:11" ht="15" customHeight="1">
      <c r="C54" s="71" t="s">
        <v>1224</v>
      </c>
      <c r="H54" s="71" t="s">
        <v>188</v>
      </c>
      <c r="J54" s="3" t="s">
        <v>1066</v>
      </c>
      <c r="K54" s="88" t="s">
        <v>1069</v>
      </c>
    </row>
    <row r="55" spans="2:11" ht="15" customHeight="1">
      <c r="C55" s="71" t="s">
        <v>1025</v>
      </c>
      <c r="H55" s="71" t="s">
        <v>189</v>
      </c>
      <c r="J55" s="90"/>
      <c r="K55" s="91"/>
    </row>
    <row r="56" spans="2:11" ht="15" customHeight="1">
      <c r="C56" s="71" t="s">
        <v>1169</v>
      </c>
      <c r="H56" s="71" t="s">
        <v>190</v>
      </c>
      <c r="J56" s="3" t="s">
        <v>1070</v>
      </c>
      <c r="K56" s="88" t="s">
        <v>1071</v>
      </c>
    </row>
    <row r="57" spans="2:11" ht="15" customHeight="1">
      <c r="C57" s="71" t="s">
        <v>941</v>
      </c>
      <c r="H57" s="71" t="s">
        <v>191</v>
      </c>
      <c r="J57" s="3" t="s">
        <v>1070</v>
      </c>
      <c r="K57" s="88" t="s">
        <v>1072</v>
      </c>
    </row>
    <row r="58" spans="2:11" ht="15" customHeight="1">
      <c r="C58" s="71" t="s">
        <v>1225</v>
      </c>
      <c r="H58" s="71" t="s">
        <v>192</v>
      </c>
      <c r="J58" s="3" t="s">
        <v>1070</v>
      </c>
      <c r="K58" s="88" t="s">
        <v>1073</v>
      </c>
    </row>
    <row r="59" spans="2:11" ht="15" customHeight="1">
      <c r="C59" s="71" t="s">
        <v>1226</v>
      </c>
      <c r="H59" s="71" t="s">
        <v>193</v>
      </c>
      <c r="J59" s="3" t="s">
        <v>1070</v>
      </c>
      <c r="K59" s="88" t="s">
        <v>1074</v>
      </c>
    </row>
    <row r="60" spans="2:11" ht="15" customHeight="1">
      <c r="C60" s="71" t="s">
        <v>1227</v>
      </c>
      <c r="H60" s="71" t="s">
        <v>194</v>
      </c>
      <c r="J60" s="3" t="s">
        <v>1070</v>
      </c>
      <c r="K60" s="88" t="s">
        <v>1075</v>
      </c>
    </row>
    <row r="61" spans="2:11" ht="15" customHeight="1">
      <c r="H61" s="71" t="s">
        <v>195</v>
      </c>
      <c r="J61" s="90"/>
      <c r="K61" s="91"/>
    </row>
    <row r="62" spans="2:11" ht="15" customHeight="1">
      <c r="H62" s="71" t="s">
        <v>196</v>
      </c>
      <c r="J62" s="3" t="s">
        <v>1076</v>
      </c>
      <c r="K62" s="88" t="s">
        <v>1077</v>
      </c>
    </row>
    <row r="63" spans="2:11" ht="15" customHeight="1">
      <c r="H63" s="71" t="s">
        <v>197</v>
      </c>
      <c r="J63" s="3" t="s">
        <v>1076</v>
      </c>
      <c r="K63" s="88" t="s">
        <v>1078</v>
      </c>
    </row>
    <row r="64" spans="2:11" ht="15" customHeight="1">
      <c r="H64" s="71" t="s">
        <v>198</v>
      </c>
      <c r="J64" s="90"/>
      <c r="K64" s="91"/>
    </row>
    <row r="65" spans="8:11" ht="15" customHeight="1">
      <c r="H65" s="71" t="s">
        <v>199</v>
      </c>
      <c r="J65" s="17" t="s">
        <v>25</v>
      </c>
      <c r="K65" s="88" t="s">
        <v>1079</v>
      </c>
    </row>
    <row r="66" spans="8:11" ht="15" customHeight="1">
      <c r="H66" s="71" t="s">
        <v>200</v>
      </c>
      <c r="J66" s="17" t="s">
        <v>25</v>
      </c>
      <c r="K66" s="88" t="s">
        <v>1080</v>
      </c>
    </row>
    <row r="67" spans="8:11" ht="15" customHeight="1">
      <c r="H67" s="71" t="s">
        <v>201</v>
      </c>
      <c r="J67" s="17" t="s">
        <v>25</v>
      </c>
      <c r="K67" s="88" t="s">
        <v>1081</v>
      </c>
    </row>
    <row r="68" spans="8:11" ht="15" customHeight="1">
      <c r="H68" s="71" t="s">
        <v>202</v>
      </c>
      <c r="J68" s="17" t="s">
        <v>25</v>
      </c>
      <c r="K68" s="88" t="s">
        <v>1082</v>
      </c>
    </row>
    <row r="69" spans="8:11" ht="15" customHeight="1">
      <c r="H69" s="71" t="s">
        <v>203</v>
      </c>
      <c r="J69" s="17" t="s">
        <v>25</v>
      </c>
      <c r="K69" s="88" t="s">
        <v>1083</v>
      </c>
    </row>
    <row r="70" spans="8:11" ht="15" customHeight="1">
      <c r="H70" s="71" t="s">
        <v>204</v>
      </c>
      <c r="J70" s="17" t="s">
        <v>25</v>
      </c>
      <c r="K70" s="88" t="s">
        <v>1084</v>
      </c>
    </row>
    <row r="71" spans="8:11" ht="15" customHeight="1">
      <c r="H71" s="71" t="s">
        <v>205</v>
      </c>
      <c r="J71" s="17" t="s">
        <v>25</v>
      </c>
      <c r="K71" s="88" t="s">
        <v>1085</v>
      </c>
    </row>
    <row r="72" spans="8:11" ht="15" customHeight="1">
      <c r="H72" s="71" t="s">
        <v>206</v>
      </c>
      <c r="J72" s="17" t="s">
        <v>25</v>
      </c>
      <c r="K72" s="88" t="s">
        <v>1086</v>
      </c>
    </row>
    <row r="73" spans="8:11" ht="15" customHeight="1">
      <c r="H73" s="71" t="s">
        <v>207</v>
      </c>
      <c r="J73" s="17" t="s">
        <v>25</v>
      </c>
      <c r="K73" s="88" t="s">
        <v>1087</v>
      </c>
    </row>
    <row r="74" spans="8:11" ht="15" customHeight="1">
      <c r="H74" s="71" t="s">
        <v>208</v>
      </c>
      <c r="J74" s="17" t="s">
        <v>25</v>
      </c>
      <c r="K74" s="88" t="s">
        <v>1088</v>
      </c>
    </row>
    <row r="75" spans="8:11" ht="15" customHeight="1">
      <c r="H75" s="71" t="s">
        <v>209</v>
      </c>
      <c r="J75" s="17" t="s">
        <v>25</v>
      </c>
      <c r="K75" s="88" t="s">
        <v>1089</v>
      </c>
    </row>
    <row r="76" spans="8:11" ht="15" customHeight="1">
      <c r="H76" s="72" t="s">
        <v>210</v>
      </c>
      <c r="J76" s="17" t="s">
        <v>25</v>
      </c>
      <c r="K76" s="88" t="s">
        <v>1090</v>
      </c>
    </row>
    <row r="77" spans="8:11" ht="15" customHeight="1">
      <c r="H77" s="71" t="s">
        <v>211</v>
      </c>
      <c r="J77" s="17" t="s">
        <v>25</v>
      </c>
      <c r="K77" s="88" t="s">
        <v>1091</v>
      </c>
    </row>
    <row r="78" spans="8:11" ht="15" customHeight="1">
      <c r="H78" s="71" t="s">
        <v>212</v>
      </c>
      <c r="J78" s="17" t="s">
        <v>25</v>
      </c>
      <c r="K78" s="88" t="s">
        <v>1092</v>
      </c>
    </row>
    <row r="79" spans="8:11" ht="15" customHeight="1">
      <c r="H79" s="71" t="s">
        <v>213</v>
      </c>
      <c r="J79" s="17" t="s">
        <v>25</v>
      </c>
      <c r="K79" s="88" t="s">
        <v>1093</v>
      </c>
    </row>
    <row r="80" spans="8:11" ht="15" customHeight="1">
      <c r="H80" s="71" t="s">
        <v>214</v>
      </c>
      <c r="J80" s="17" t="s">
        <v>25</v>
      </c>
      <c r="K80" s="88" t="s">
        <v>1094</v>
      </c>
    </row>
    <row r="81" spans="8:11" ht="15" customHeight="1">
      <c r="H81" s="71" t="s">
        <v>215</v>
      </c>
      <c r="J81" s="17" t="s">
        <v>25</v>
      </c>
      <c r="K81" s="88" t="s">
        <v>1095</v>
      </c>
    </row>
    <row r="82" spans="8:11" ht="15" customHeight="1">
      <c r="H82" s="71" t="s">
        <v>216</v>
      </c>
      <c r="J82" s="17" t="s">
        <v>25</v>
      </c>
      <c r="K82" s="88" t="s">
        <v>1096</v>
      </c>
    </row>
    <row r="83" spans="8:11" ht="15" customHeight="1">
      <c r="H83" s="71" t="s">
        <v>217</v>
      </c>
      <c r="J83" s="17" t="s">
        <v>25</v>
      </c>
      <c r="K83" s="88" t="s">
        <v>1097</v>
      </c>
    </row>
    <row r="84" spans="8:11" ht="15" customHeight="1">
      <c r="H84" s="71" t="s">
        <v>218</v>
      </c>
      <c r="J84" s="90"/>
      <c r="K84" s="91"/>
    </row>
    <row r="85" spans="8:11" ht="15" customHeight="1">
      <c r="H85" s="71" t="s">
        <v>219</v>
      </c>
      <c r="J85" s="92" t="s">
        <v>1098</v>
      </c>
      <c r="K85" s="88" t="s">
        <v>1099</v>
      </c>
    </row>
    <row r="86" spans="8:11" ht="15" customHeight="1">
      <c r="H86" s="72" t="s">
        <v>220</v>
      </c>
      <c r="J86" s="92" t="s">
        <v>1098</v>
      </c>
      <c r="K86" s="88" t="s">
        <v>1100</v>
      </c>
    </row>
    <row r="87" spans="8:11" ht="15" customHeight="1">
      <c r="H87" s="71" t="s">
        <v>221</v>
      </c>
      <c r="J87" s="92" t="s">
        <v>1098</v>
      </c>
      <c r="K87" s="88" t="s">
        <v>941</v>
      </c>
    </row>
    <row r="88" spans="8:11" ht="15" customHeight="1">
      <c r="H88" s="71" t="s">
        <v>222</v>
      </c>
      <c r="J88" s="90"/>
      <c r="K88" s="91"/>
    </row>
    <row r="89" spans="8:11" ht="15" customHeight="1">
      <c r="H89" s="71" t="s">
        <v>223</v>
      </c>
      <c r="J89" s="92" t="s">
        <v>1101</v>
      </c>
      <c r="K89" s="88" t="s">
        <v>1102</v>
      </c>
    </row>
    <row r="90" spans="8:11" ht="15" customHeight="1">
      <c r="H90" s="71" t="s">
        <v>224</v>
      </c>
      <c r="J90" s="92" t="s">
        <v>1101</v>
      </c>
      <c r="K90" s="88" t="s">
        <v>1103</v>
      </c>
    </row>
    <row r="91" spans="8:11" ht="15" customHeight="1">
      <c r="H91" s="71" t="s">
        <v>225</v>
      </c>
      <c r="J91" s="92" t="s">
        <v>1101</v>
      </c>
      <c r="K91" s="88" t="s">
        <v>1104</v>
      </c>
    </row>
    <row r="92" spans="8:11" ht="15" customHeight="1">
      <c r="H92" s="71" t="s">
        <v>226</v>
      </c>
      <c r="J92" s="92" t="s">
        <v>1101</v>
      </c>
      <c r="K92" s="88" t="s">
        <v>1105</v>
      </c>
    </row>
    <row r="93" spans="8:11" ht="15" customHeight="1">
      <c r="H93" s="71" t="s">
        <v>227</v>
      </c>
      <c r="J93" s="92" t="s">
        <v>1101</v>
      </c>
      <c r="K93" s="88" t="s">
        <v>1106</v>
      </c>
    </row>
    <row r="94" spans="8:11" ht="15" customHeight="1">
      <c r="H94" s="72" t="s">
        <v>228</v>
      </c>
      <c r="J94" s="92" t="s">
        <v>1101</v>
      </c>
      <c r="K94" s="88" t="s">
        <v>1107</v>
      </c>
    </row>
    <row r="95" spans="8:11" ht="15" customHeight="1">
      <c r="H95" s="71" t="s">
        <v>229</v>
      </c>
      <c r="J95" s="92" t="s">
        <v>1101</v>
      </c>
      <c r="K95" s="88" t="s">
        <v>1108</v>
      </c>
    </row>
    <row r="96" spans="8:11" ht="15" customHeight="1">
      <c r="H96" s="71" t="s">
        <v>230</v>
      </c>
      <c r="J96" s="92" t="s">
        <v>1101</v>
      </c>
      <c r="K96" s="88" t="s">
        <v>1109</v>
      </c>
    </row>
    <row r="97" spans="8:11" ht="15" customHeight="1">
      <c r="H97" s="71" t="s">
        <v>231</v>
      </c>
      <c r="J97" s="92" t="s">
        <v>1101</v>
      </c>
      <c r="K97" s="88" t="s">
        <v>1110</v>
      </c>
    </row>
    <row r="98" spans="8:11" ht="15" customHeight="1">
      <c r="H98" s="71" t="s">
        <v>232</v>
      </c>
      <c r="J98" s="92" t="s">
        <v>1101</v>
      </c>
      <c r="K98" s="88" t="s">
        <v>1111</v>
      </c>
    </row>
    <row r="99" spans="8:11" ht="15" customHeight="1">
      <c r="H99" s="71" t="s">
        <v>233</v>
      </c>
      <c r="J99" s="92" t="s">
        <v>1101</v>
      </c>
      <c r="K99" s="88" t="s">
        <v>1112</v>
      </c>
    </row>
    <row r="100" spans="8:11" ht="15" customHeight="1">
      <c r="H100" s="71" t="s">
        <v>234</v>
      </c>
      <c r="J100" s="92" t="s">
        <v>1101</v>
      </c>
      <c r="K100" s="88" t="s">
        <v>1113</v>
      </c>
    </row>
    <row r="101" spans="8:11" ht="15" customHeight="1">
      <c r="H101" s="71" t="s">
        <v>235</v>
      </c>
      <c r="J101" s="92" t="s">
        <v>1101</v>
      </c>
      <c r="K101" s="88" t="s">
        <v>1114</v>
      </c>
    </row>
    <row r="102" spans="8:11" ht="15" customHeight="1">
      <c r="H102" s="71" t="s">
        <v>236</v>
      </c>
      <c r="J102" s="92" t="s">
        <v>1101</v>
      </c>
      <c r="K102" s="88" t="s">
        <v>1115</v>
      </c>
    </row>
    <row r="103" spans="8:11" ht="15" customHeight="1">
      <c r="H103" s="71" t="s">
        <v>237</v>
      </c>
      <c r="J103" s="92" t="s">
        <v>1101</v>
      </c>
      <c r="K103" s="88" t="s">
        <v>1116</v>
      </c>
    </row>
    <row r="104" spans="8:11" ht="15" customHeight="1">
      <c r="H104" s="71" t="s">
        <v>238</v>
      </c>
      <c r="J104" s="92" t="s">
        <v>1101</v>
      </c>
      <c r="K104" s="88" t="s">
        <v>1117</v>
      </c>
    </row>
    <row r="105" spans="8:11" ht="15" customHeight="1">
      <c r="H105" s="71" t="s">
        <v>239</v>
      </c>
      <c r="J105" s="92" t="s">
        <v>1101</v>
      </c>
      <c r="K105" s="88" t="s">
        <v>1118</v>
      </c>
    </row>
    <row r="106" spans="8:11" ht="15" customHeight="1">
      <c r="H106" s="71" t="s">
        <v>240</v>
      </c>
      <c r="J106" s="92" t="s">
        <v>1101</v>
      </c>
      <c r="K106" s="88" t="s">
        <v>1119</v>
      </c>
    </row>
    <row r="107" spans="8:11" ht="15" customHeight="1">
      <c r="H107" s="71" t="s">
        <v>241</v>
      </c>
      <c r="J107" s="92" t="s">
        <v>1101</v>
      </c>
      <c r="K107" s="88" t="s">
        <v>1120</v>
      </c>
    </row>
    <row r="108" spans="8:11" ht="15" customHeight="1">
      <c r="H108" s="71" t="s">
        <v>242</v>
      </c>
      <c r="J108" s="92" t="s">
        <v>1101</v>
      </c>
      <c r="K108" s="88" t="s">
        <v>1121</v>
      </c>
    </row>
    <row r="109" spans="8:11" ht="15" customHeight="1">
      <c r="H109" s="71" t="s">
        <v>243</v>
      </c>
      <c r="J109" s="92" t="s">
        <v>1101</v>
      </c>
      <c r="K109" s="88" t="s">
        <v>1122</v>
      </c>
    </row>
    <row r="110" spans="8:11" ht="15" customHeight="1">
      <c r="H110" s="71" t="s">
        <v>244</v>
      </c>
      <c r="J110" s="92" t="s">
        <v>1101</v>
      </c>
      <c r="K110" s="88" t="s">
        <v>1123</v>
      </c>
    </row>
    <row r="111" spans="8:11" ht="15" customHeight="1">
      <c r="H111" s="71" t="s">
        <v>245</v>
      </c>
      <c r="J111" s="92" t="s">
        <v>1101</v>
      </c>
      <c r="K111" s="88" t="s">
        <v>1124</v>
      </c>
    </row>
    <row r="112" spans="8:11" ht="15" customHeight="1">
      <c r="H112" s="71" t="s">
        <v>246</v>
      </c>
      <c r="J112" s="92" t="s">
        <v>1101</v>
      </c>
      <c r="K112" s="88" t="s">
        <v>1125</v>
      </c>
    </row>
    <row r="113" spans="8:11" ht="15" customHeight="1">
      <c r="H113" s="71" t="s">
        <v>247</v>
      </c>
      <c r="J113" s="92" t="s">
        <v>1101</v>
      </c>
      <c r="K113" s="88" t="s">
        <v>1126</v>
      </c>
    </row>
    <row r="114" spans="8:11" ht="15" customHeight="1">
      <c r="H114" s="71" t="s">
        <v>248</v>
      </c>
      <c r="J114" s="92" t="s">
        <v>1101</v>
      </c>
      <c r="K114" s="88" t="s">
        <v>1127</v>
      </c>
    </row>
    <row r="115" spans="8:11" ht="15" customHeight="1">
      <c r="H115" s="71" t="s">
        <v>249</v>
      </c>
      <c r="J115" s="93" t="s">
        <v>1101</v>
      </c>
      <c r="K115" s="89" t="s">
        <v>1128</v>
      </c>
    </row>
    <row r="116" spans="8:11" ht="15" customHeight="1">
      <c r="H116" s="71" t="s">
        <v>250</v>
      </c>
      <c r="J116" s="92" t="s">
        <v>1101</v>
      </c>
      <c r="K116" s="88" t="s">
        <v>1129</v>
      </c>
    </row>
    <row r="117" spans="8:11" ht="15" customHeight="1">
      <c r="H117" s="71" t="s">
        <v>251</v>
      </c>
      <c r="J117" s="92" t="s">
        <v>1101</v>
      </c>
      <c r="K117" s="88" t="s">
        <v>1130</v>
      </c>
    </row>
    <row r="118" spans="8:11" ht="15" customHeight="1">
      <c r="H118" s="71" t="s">
        <v>252</v>
      </c>
      <c r="J118" s="93" t="s">
        <v>1101</v>
      </c>
      <c r="K118" s="89" t="s">
        <v>1131</v>
      </c>
    </row>
    <row r="119" spans="8:11" ht="15" customHeight="1">
      <c r="H119" s="71" t="s">
        <v>253</v>
      </c>
      <c r="J119" s="17" t="s">
        <v>1101</v>
      </c>
      <c r="K119" s="88" t="s">
        <v>1132</v>
      </c>
    </row>
    <row r="120" spans="8:11" ht="15" customHeight="1">
      <c r="H120" s="71" t="s">
        <v>254</v>
      </c>
      <c r="J120" s="92" t="s">
        <v>1101</v>
      </c>
      <c r="K120" s="88" t="s">
        <v>1133</v>
      </c>
    </row>
    <row r="121" spans="8:11" ht="15" customHeight="1">
      <c r="H121" s="71" t="s">
        <v>255</v>
      </c>
      <c r="J121" s="92" t="s">
        <v>1101</v>
      </c>
      <c r="K121" s="88" t="s">
        <v>1134</v>
      </c>
    </row>
    <row r="122" spans="8:11" ht="15" customHeight="1">
      <c r="H122" s="71" t="s">
        <v>256</v>
      </c>
      <c r="J122" s="92" t="s">
        <v>1101</v>
      </c>
      <c r="K122" s="88" t="s">
        <v>1135</v>
      </c>
    </row>
    <row r="123" spans="8:11" ht="15" customHeight="1">
      <c r="H123" s="71" t="s">
        <v>257</v>
      </c>
      <c r="J123" s="92" t="s">
        <v>1101</v>
      </c>
      <c r="K123" s="88" t="s">
        <v>1136</v>
      </c>
    </row>
    <row r="124" spans="8:11" ht="15" customHeight="1">
      <c r="H124" s="71" t="s">
        <v>258</v>
      </c>
      <c r="J124" s="92" t="s">
        <v>1101</v>
      </c>
      <c r="K124" s="88" t="s">
        <v>1137</v>
      </c>
    </row>
    <row r="125" spans="8:11" ht="15" customHeight="1">
      <c r="H125" s="71" t="s">
        <v>259</v>
      </c>
      <c r="J125" s="92" t="s">
        <v>1101</v>
      </c>
      <c r="K125" s="88" t="s">
        <v>1138</v>
      </c>
    </row>
    <row r="126" spans="8:11" ht="15" customHeight="1">
      <c r="H126" s="71" t="s">
        <v>260</v>
      </c>
      <c r="J126" s="17" t="s">
        <v>1101</v>
      </c>
      <c r="K126" s="88" t="s">
        <v>1139</v>
      </c>
    </row>
    <row r="127" spans="8:11" ht="15" customHeight="1">
      <c r="H127" s="71" t="s">
        <v>261</v>
      </c>
      <c r="J127" s="92" t="s">
        <v>1101</v>
      </c>
      <c r="K127" s="88" t="s">
        <v>1140</v>
      </c>
    </row>
    <row r="128" spans="8:11" ht="15" customHeight="1">
      <c r="H128" s="71" t="s">
        <v>262</v>
      </c>
      <c r="J128" s="92" t="s">
        <v>1101</v>
      </c>
      <c r="K128" s="88" t="s">
        <v>1141</v>
      </c>
    </row>
    <row r="129" spans="8:11" ht="15" customHeight="1">
      <c r="H129" s="71" t="s">
        <v>263</v>
      </c>
      <c r="J129" s="92" t="s">
        <v>1101</v>
      </c>
      <c r="K129" s="88" t="s">
        <v>676</v>
      </c>
    </row>
    <row r="130" spans="8:11" ht="15" customHeight="1">
      <c r="H130" s="71" t="s">
        <v>264</v>
      </c>
      <c r="J130" s="90"/>
      <c r="K130" s="91"/>
    </row>
    <row r="131" spans="8:11" ht="15" customHeight="1">
      <c r="H131" s="71" t="s">
        <v>265</v>
      </c>
      <c r="J131" s="17" t="s">
        <v>1142</v>
      </c>
      <c r="K131" s="88" t="s">
        <v>1143</v>
      </c>
    </row>
    <row r="132" spans="8:11" ht="15" customHeight="1">
      <c r="H132" s="71" t="s">
        <v>266</v>
      </c>
      <c r="J132" s="17" t="s">
        <v>1142</v>
      </c>
      <c r="K132" s="88" t="s">
        <v>1144</v>
      </c>
    </row>
    <row r="133" spans="8:11" ht="15" customHeight="1">
      <c r="H133" s="71" t="s">
        <v>267</v>
      </c>
      <c r="J133" s="92" t="s">
        <v>1142</v>
      </c>
      <c r="K133" s="88" t="s">
        <v>1145</v>
      </c>
    </row>
    <row r="134" spans="8:11" ht="15" customHeight="1">
      <c r="H134" s="71" t="s">
        <v>268</v>
      </c>
      <c r="J134" s="92" t="s">
        <v>1142</v>
      </c>
      <c r="K134" s="88" t="s">
        <v>1146</v>
      </c>
    </row>
    <row r="135" spans="8:11" ht="15" customHeight="1">
      <c r="H135" s="71" t="s">
        <v>269</v>
      </c>
      <c r="J135" s="92" t="s">
        <v>1142</v>
      </c>
      <c r="K135" s="88" t="s">
        <v>1147</v>
      </c>
    </row>
    <row r="136" spans="8:11" ht="15" customHeight="1">
      <c r="H136" s="71" t="s">
        <v>270</v>
      </c>
      <c r="J136" s="92" t="s">
        <v>1142</v>
      </c>
      <c r="K136" s="88" t="s">
        <v>1148</v>
      </c>
    </row>
    <row r="137" spans="8:11" ht="15" customHeight="1">
      <c r="H137" s="71" t="s">
        <v>271</v>
      </c>
      <c r="J137" s="92" t="s">
        <v>1142</v>
      </c>
      <c r="K137" s="88" t="s">
        <v>1149</v>
      </c>
    </row>
    <row r="138" spans="8:11" ht="15" customHeight="1">
      <c r="H138" s="71" t="s">
        <v>272</v>
      </c>
      <c r="J138" s="92" t="s">
        <v>1142</v>
      </c>
      <c r="K138" s="88" t="s">
        <v>1150</v>
      </c>
    </row>
    <row r="139" spans="8:11" ht="15" customHeight="1">
      <c r="H139" s="71" t="s">
        <v>273</v>
      </c>
      <c r="J139" s="92" t="s">
        <v>1142</v>
      </c>
      <c r="K139" s="88" t="s">
        <v>1151</v>
      </c>
    </row>
    <row r="140" spans="8:11" ht="15" customHeight="1">
      <c r="H140" s="71" t="s">
        <v>274</v>
      </c>
      <c r="J140" s="92" t="s">
        <v>1142</v>
      </c>
      <c r="K140" s="88" t="s">
        <v>1152</v>
      </c>
    </row>
    <row r="141" spans="8:11" ht="15" customHeight="1">
      <c r="H141" s="71" t="s">
        <v>275</v>
      </c>
      <c r="J141" s="17" t="s">
        <v>1142</v>
      </c>
      <c r="K141" s="88" t="s">
        <v>1153</v>
      </c>
    </row>
    <row r="142" spans="8:11" ht="15" customHeight="1">
      <c r="H142" s="71" t="s">
        <v>276</v>
      </c>
      <c r="J142" s="17" t="s">
        <v>1142</v>
      </c>
      <c r="K142" s="88" t="s">
        <v>1154</v>
      </c>
    </row>
    <row r="143" spans="8:11" ht="15" customHeight="1">
      <c r="H143" s="71" t="s">
        <v>277</v>
      </c>
      <c r="J143" s="92" t="s">
        <v>1142</v>
      </c>
      <c r="K143" s="88" t="s">
        <v>1155</v>
      </c>
    </row>
    <row r="144" spans="8:11" ht="15" customHeight="1">
      <c r="H144" s="71" t="s">
        <v>278</v>
      </c>
      <c r="J144" s="92" t="s">
        <v>1142</v>
      </c>
      <c r="K144" s="88" t="s">
        <v>1156</v>
      </c>
    </row>
    <row r="145" spans="8:11" ht="15" customHeight="1">
      <c r="H145" s="71" t="s">
        <v>279</v>
      </c>
      <c r="J145" s="92" t="s">
        <v>1142</v>
      </c>
      <c r="K145" s="88" t="s">
        <v>1157</v>
      </c>
    </row>
    <row r="146" spans="8:11" ht="15" customHeight="1">
      <c r="H146" s="71" t="s">
        <v>280</v>
      </c>
      <c r="J146" s="92" t="s">
        <v>1142</v>
      </c>
      <c r="K146" s="88" t="s">
        <v>1158</v>
      </c>
    </row>
    <row r="147" spans="8:11" ht="15" customHeight="1">
      <c r="H147" s="71" t="s">
        <v>281</v>
      </c>
      <c r="J147" s="92" t="s">
        <v>1142</v>
      </c>
      <c r="K147" s="88" t="s">
        <v>1159</v>
      </c>
    </row>
    <row r="148" spans="8:11" ht="15" customHeight="1">
      <c r="H148" s="71" t="s">
        <v>282</v>
      </c>
      <c r="J148" s="92" t="s">
        <v>1142</v>
      </c>
      <c r="K148" s="88" t="s">
        <v>1160</v>
      </c>
    </row>
    <row r="149" spans="8:11" ht="15" customHeight="1">
      <c r="H149" s="71" t="s">
        <v>283</v>
      </c>
      <c r="J149" s="92" t="s">
        <v>1142</v>
      </c>
      <c r="K149" s="88" t="s">
        <v>1161</v>
      </c>
    </row>
    <row r="150" spans="8:11" ht="15" customHeight="1">
      <c r="H150" s="71" t="s">
        <v>284</v>
      </c>
      <c r="J150" s="92" t="s">
        <v>1142</v>
      </c>
      <c r="K150" s="88" t="s">
        <v>1162</v>
      </c>
    </row>
    <row r="151" spans="8:11" ht="15" customHeight="1">
      <c r="H151" s="71" t="s">
        <v>285</v>
      </c>
      <c r="J151" s="92" t="s">
        <v>1142</v>
      </c>
      <c r="K151" s="88" t="s">
        <v>1163</v>
      </c>
    </row>
    <row r="152" spans="8:11" ht="15" customHeight="1">
      <c r="H152" s="71" t="s">
        <v>286</v>
      </c>
      <c r="J152" s="92" t="s">
        <v>1142</v>
      </c>
      <c r="K152" s="88" t="s">
        <v>1164</v>
      </c>
    </row>
    <row r="153" spans="8:11" ht="15" customHeight="1">
      <c r="H153" s="71" t="s">
        <v>287</v>
      </c>
      <c r="J153" s="92" t="s">
        <v>1142</v>
      </c>
      <c r="K153" s="88" t="s">
        <v>1165</v>
      </c>
    </row>
    <row r="154" spans="8:11" ht="15" customHeight="1">
      <c r="H154" s="71" t="s">
        <v>288</v>
      </c>
      <c r="J154" s="92" t="s">
        <v>1142</v>
      </c>
      <c r="K154" s="88" t="s">
        <v>1166</v>
      </c>
    </row>
    <row r="155" spans="8:11" ht="15" customHeight="1">
      <c r="H155" s="71" t="s">
        <v>289</v>
      </c>
      <c r="J155" s="92" t="s">
        <v>1142</v>
      </c>
      <c r="K155" s="88" t="s">
        <v>1167</v>
      </c>
    </row>
    <row r="156" spans="8:11" ht="15" customHeight="1">
      <c r="H156" s="71" t="s">
        <v>290</v>
      </c>
      <c r="J156" s="92" t="s">
        <v>1142</v>
      </c>
      <c r="K156" s="88" t="s">
        <v>1168</v>
      </c>
    </row>
    <row r="157" spans="8:11" ht="15" customHeight="1">
      <c r="H157" s="71" t="s">
        <v>291</v>
      </c>
      <c r="J157" s="92" t="s">
        <v>1142</v>
      </c>
      <c r="K157" s="88" t="s">
        <v>1169</v>
      </c>
    </row>
    <row r="158" spans="8:11" ht="15" customHeight="1">
      <c r="H158" s="71" t="s">
        <v>292</v>
      </c>
      <c r="J158" s="90"/>
      <c r="K158" s="91"/>
    </row>
    <row r="159" spans="8:11" ht="15" customHeight="1">
      <c r="H159" s="71" t="s">
        <v>293</v>
      </c>
      <c r="J159" s="92" t="s">
        <v>1170</v>
      </c>
      <c r="K159" s="88" t="s">
        <v>1171</v>
      </c>
    </row>
    <row r="160" spans="8:11" ht="15" customHeight="1">
      <c r="H160" s="71" t="s">
        <v>294</v>
      </c>
      <c r="J160" s="90"/>
      <c r="K160" s="91"/>
    </row>
    <row r="161" spans="8:11" ht="15" customHeight="1">
      <c r="H161" s="71" t="s">
        <v>295</v>
      </c>
      <c r="J161" s="92" t="s">
        <v>1172</v>
      </c>
      <c r="K161" s="88" t="s">
        <v>1173</v>
      </c>
    </row>
    <row r="162" spans="8:11" ht="15" customHeight="1">
      <c r="H162" s="71" t="s">
        <v>296</v>
      </c>
      <c r="J162" s="92" t="s">
        <v>1172</v>
      </c>
      <c r="K162" s="88" t="s">
        <v>1174</v>
      </c>
    </row>
    <row r="163" spans="8:11" ht="15" customHeight="1">
      <c r="H163" s="71" t="s">
        <v>297</v>
      </c>
      <c r="J163" s="92" t="s">
        <v>1172</v>
      </c>
      <c r="K163" s="88" t="s">
        <v>1175</v>
      </c>
    </row>
    <row r="164" spans="8:11" ht="15" customHeight="1">
      <c r="H164" s="72" t="s">
        <v>298</v>
      </c>
      <c r="J164" s="92" t="s">
        <v>1172</v>
      </c>
      <c r="K164" s="88" t="s">
        <v>1176</v>
      </c>
    </row>
    <row r="165" spans="8:11" ht="15" customHeight="1">
      <c r="H165" s="71" t="s">
        <v>299</v>
      </c>
      <c r="J165" s="92" t="s">
        <v>1172</v>
      </c>
      <c r="K165" s="88" t="s">
        <v>1177</v>
      </c>
    </row>
    <row r="166" spans="8:11" ht="15" customHeight="1">
      <c r="H166" s="71" t="s">
        <v>300</v>
      </c>
      <c r="J166" s="90"/>
      <c r="K166" s="91"/>
    </row>
    <row r="167" spans="8:11" ht="15" customHeight="1">
      <c r="H167" s="72" t="s">
        <v>301</v>
      </c>
      <c r="J167" s="92" t="s">
        <v>1178</v>
      </c>
      <c r="K167" s="88" t="s">
        <v>1179</v>
      </c>
    </row>
    <row r="168" spans="8:11" ht="15" customHeight="1">
      <c r="H168" s="71" t="s">
        <v>302</v>
      </c>
      <c r="J168" s="92" t="s">
        <v>1178</v>
      </c>
      <c r="K168" s="88" t="s">
        <v>1180</v>
      </c>
    </row>
    <row r="169" spans="8:11" ht="15" customHeight="1">
      <c r="H169" s="71" t="s">
        <v>303</v>
      </c>
      <c r="J169" s="92" t="s">
        <v>1178</v>
      </c>
      <c r="K169" s="88" t="s">
        <v>1181</v>
      </c>
    </row>
    <row r="170" spans="8:11" ht="15" customHeight="1">
      <c r="H170" s="71" t="s">
        <v>304</v>
      </c>
      <c r="J170" s="17" t="s">
        <v>1178</v>
      </c>
      <c r="K170" s="88" t="s">
        <v>1182</v>
      </c>
    </row>
    <row r="171" spans="8:11" ht="15" customHeight="1">
      <c r="H171" s="71" t="s">
        <v>305</v>
      </c>
      <c r="J171" s="92" t="s">
        <v>1178</v>
      </c>
      <c r="K171" s="88" t="s">
        <v>1183</v>
      </c>
    </row>
    <row r="172" spans="8:11" ht="15" customHeight="1">
      <c r="H172" s="71" t="s">
        <v>306</v>
      </c>
    </row>
    <row r="173" spans="8:11" ht="15" customHeight="1">
      <c r="H173" s="71" t="s">
        <v>307</v>
      </c>
    </row>
    <row r="174" spans="8:11" ht="15" customHeight="1">
      <c r="H174" s="71" t="s">
        <v>308</v>
      </c>
    </row>
    <row r="175" spans="8:11" ht="15" customHeight="1">
      <c r="H175" s="72" t="s">
        <v>309</v>
      </c>
    </row>
    <row r="176" spans="8:11" ht="15" customHeight="1">
      <c r="H176" s="72" t="s">
        <v>310</v>
      </c>
    </row>
    <row r="177" spans="8:8" ht="15" customHeight="1">
      <c r="H177" s="75" t="s">
        <v>311</v>
      </c>
    </row>
    <row r="178" spans="8:8" ht="15" customHeight="1">
      <c r="H178" s="71" t="s">
        <v>312</v>
      </c>
    </row>
    <row r="179" spans="8:8" ht="15" customHeight="1">
      <c r="H179" s="71" t="s">
        <v>313</v>
      </c>
    </row>
    <row r="180" spans="8:8" ht="15" customHeight="1">
      <c r="H180" s="74" t="s">
        <v>314</v>
      </c>
    </row>
    <row r="181" spans="8:8" ht="15" customHeight="1">
      <c r="H181" s="71" t="s">
        <v>314</v>
      </c>
    </row>
    <row r="182" spans="8:8" ht="15" customHeight="1">
      <c r="H182" s="71" t="s">
        <v>315</v>
      </c>
    </row>
    <row r="183" spans="8:8" ht="15" customHeight="1">
      <c r="H183" s="76"/>
    </row>
    <row r="184" spans="8:8" ht="15" customHeight="1">
      <c r="H184" s="71" t="s">
        <v>316</v>
      </c>
    </row>
    <row r="185" spans="8:8" ht="15" customHeight="1">
      <c r="H185" s="71" t="s">
        <v>317</v>
      </c>
    </row>
    <row r="186" spans="8:8" ht="15" customHeight="1">
      <c r="H186" s="71" t="s">
        <v>318</v>
      </c>
    </row>
    <row r="187" spans="8:8" ht="15" customHeight="1">
      <c r="H187" s="71" t="s">
        <v>319</v>
      </c>
    </row>
    <row r="188" spans="8:8" ht="15" customHeight="1">
      <c r="H188" s="71" t="s">
        <v>320</v>
      </c>
    </row>
    <row r="189" spans="8:8" ht="15" customHeight="1">
      <c r="H189" s="73"/>
    </row>
    <row r="190" spans="8:8" ht="15" customHeight="1">
      <c r="H190" s="77" t="s">
        <v>321</v>
      </c>
    </row>
    <row r="191" spans="8:8" ht="15" customHeight="1">
      <c r="H191" s="77" t="s">
        <v>322</v>
      </c>
    </row>
    <row r="192" spans="8:8" ht="15" customHeight="1">
      <c r="H192" s="77" t="s">
        <v>323</v>
      </c>
    </row>
    <row r="193" spans="8:8" ht="15" customHeight="1">
      <c r="H193" s="77" t="s">
        <v>324</v>
      </c>
    </row>
    <row r="194" spans="8:8" ht="15" customHeight="1">
      <c r="H194" s="77" t="s">
        <v>325</v>
      </c>
    </row>
    <row r="195" spans="8:8" ht="15" customHeight="1">
      <c r="H195" s="77" t="s">
        <v>326</v>
      </c>
    </row>
    <row r="196" spans="8:8" ht="15" customHeight="1">
      <c r="H196" s="77" t="s">
        <v>327</v>
      </c>
    </row>
    <row r="197" spans="8:8" ht="15" customHeight="1">
      <c r="H197" s="77" t="s">
        <v>328</v>
      </c>
    </row>
    <row r="198" spans="8:8" ht="15" customHeight="1">
      <c r="H198" s="77" t="s">
        <v>329</v>
      </c>
    </row>
    <row r="199" spans="8:8" ht="15" customHeight="1">
      <c r="H199" s="77" t="s">
        <v>330</v>
      </c>
    </row>
    <row r="200" spans="8:8" ht="15" customHeight="1">
      <c r="H200" s="77" t="s">
        <v>331</v>
      </c>
    </row>
    <row r="201" spans="8:8" ht="15" customHeight="1">
      <c r="H201" s="77" t="s">
        <v>332</v>
      </c>
    </row>
    <row r="202" spans="8:8" ht="15" customHeight="1">
      <c r="H202" s="77" t="s">
        <v>333</v>
      </c>
    </row>
    <row r="203" spans="8:8" ht="15" customHeight="1">
      <c r="H203" s="77" t="s">
        <v>334</v>
      </c>
    </row>
    <row r="204" spans="8:8" ht="15" customHeight="1">
      <c r="H204" s="71" t="s">
        <v>335</v>
      </c>
    </row>
    <row r="205" spans="8:8" ht="15" customHeight="1">
      <c r="H205" s="71" t="s">
        <v>336</v>
      </c>
    </row>
    <row r="206" spans="8:8" ht="15" customHeight="1">
      <c r="H206" s="71" t="s">
        <v>337</v>
      </c>
    </row>
    <row r="207" spans="8:8" ht="15" customHeight="1">
      <c r="H207" s="71" t="s">
        <v>338</v>
      </c>
    </row>
    <row r="208" spans="8:8" ht="15" customHeight="1">
      <c r="H208" s="71" t="s">
        <v>339</v>
      </c>
    </row>
    <row r="209" spans="8:8" ht="15" customHeight="1">
      <c r="H209" s="71" t="s">
        <v>339</v>
      </c>
    </row>
    <row r="210" spans="8:8" ht="15" customHeight="1">
      <c r="H210" s="71" t="s">
        <v>340</v>
      </c>
    </row>
    <row r="211" spans="8:8" ht="15" customHeight="1">
      <c r="H211" s="71" t="s">
        <v>341</v>
      </c>
    </row>
    <row r="212" spans="8:8" ht="15" customHeight="1">
      <c r="H212" s="71" t="s">
        <v>342</v>
      </c>
    </row>
    <row r="213" spans="8:8" ht="15" customHeight="1">
      <c r="H213" s="71" t="s">
        <v>343</v>
      </c>
    </row>
    <row r="214" spans="8:8" ht="15" customHeight="1">
      <c r="H214" s="71" t="s">
        <v>344</v>
      </c>
    </row>
    <row r="215" spans="8:8" ht="15" customHeight="1">
      <c r="H215" s="71" t="s">
        <v>345</v>
      </c>
    </row>
    <row r="216" spans="8:8" ht="15" customHeight="1">
      <c r="H216" s="71" t="s">
        <v>346</v>
      </c>
    </row>
    <row r="217" spans="8:8" ht="15" customHeight="1">
      <c r="H217" s="78" t="s">
        <v>347</v>
      </c>
    </row>
    <row r="218" spans="8:8" ht="15" customHeight="1">
      <c r="H218" s="74" t="s">
        <v>348</v>
      </c>
    </row>
    <row r="219" spans="8:8" ht="15" customHeight="1">
      <c r="H219" s="71" t="s">
        <v>348</v>
      </c>
    </row>
    <row r="220" spans="8:8" ht="15" customHeight="1">
      <c r="H220" s="72" t="s">
        <v>349</v>
      </c>
    </row>
    <row r="221" spans="8:8" ht="15" customHeight="1">
      <c r="H221" s="72" t="s">
        <v>350</v>
      </c>
    </row>
    <row r="222" spans="8:8" ht="15" customHeight="1">
      <c r="H222" s="72" t="s">
        <v>351</v>
      </c>
    </row>
    <row r="223" spans="8:8" ht="15" customHeight="1">
      <c r="H223" s="72" t="s">
        <v>352</v>
      </c>
    </row>
    <row r="224" spans="8:8" ht="15" customHeight="1">
      <c r="H224" s="72" t="s">
        <v>353</v>
      </c>
    </row>
    <row r="225" spans="8:8" ht="15" customHeight="1">
      <c r="H225" s="72" t="s">
        <v>354</v>
      </c>
    </row>
    <row r="226" spans="8:8" ht="15" customHeight="1">
      <c r="H226" s="74" t="s">
        <v>355</v>
      </c>
    </row>
    <row r="227" spans="8:8" ht="15" customHeight="1">
      <c r="H227" s="71" t="s">
        <v>355</v>
      </c>
    </row>
    <row r="228" spans="8:8" ht="15" customHeight="1">
      <c r="H228" s="72" t="s">
        <v>356</v>
      </c>
    </row>
    <row r="229" spans="8:8" ht="15" customHeight="1">
      <c r="H229" s="72" t="s">
        <v>357</v>
      </c>
    </row>
    <row r="230" spans="8:8" ht="15" customHeight="1">
      <c r="H230" s="71" t="s">
        <v>358</v>
      </c>
    </row>
    <row r="231" spans="8:8" ht="15" customHeight="1">
      <c r="H231" s="71" t="s">
        <v>359</v>
      </c>
    </row>
    <row r="232" spans="8:8" ht="15" customHeight="1">
      <c r="H232" s="72" t="s">
        <v>360</v>
      </c>
    </row>
    <row r="233" spans="8:8" ht="15" customHeight="1">
      <c r="H233" s="71" t="s">
        <v>361</v>
      </c>
    </row>
    <row r="234" spans="8:8" ht="15" customHeight="1">
      <c r="H234" s="72" t="s">
        <v>362</v>
      </c>
    </row>
    <row r="235" spans="8:8" ht="15" customHeight="1">
      <c r="H235" s="71" t="s">
        <v>363</v>
      </c>
    </row>
    <row r="236" spans="8:8" ht="15" customHeight="1">
      <c r="H236" s="71" t="s">
        <v>364</v>
      </c>
    </row>
    <row r="237" spans="8:8" ht="15" customHeight="1">
      <c r="H237" s="71" t="s">
        <v>365</v>
      </c>
    </row>
    <row r="238" spans="8:8" ht="15" customHeight="1">
      <c r="H238" s="71" t="s">
        <v>366</v>
      </c>
    </row>
    <row r="239" spans="8:8" ht="15" customHeight="1">
      <c r="H239" s="71" t="s">
        <v>367</v>
      </c>
    </row>
    <row r="240" spans="8:8" ht="15" customHeight="1">
      <c r="H240" s="71" t="s">
        <v>368</v>
      </c>
    </row>
    <row r="241" spans="8:8" ht="15" customHeight="1">
      <c r="H241" s="71" t="s">
        <v>369</v>
      </c>
    </row>
    <row r="242" spans="8:8" ht="15" customHeight="1">
      <c r="H242" s="71" t="s">
        <v>370</v>
      </c>
    </row>
    <row r="243" spans="8:8" ht="15" customHeight="1">
      <c r="H243" s="71" t="s">
        <v>371</v>
      </c>
    </row>
    <row r="244" spans="8:8" ht="15" customHeight="1">
      <c r="H244" s="71" t="s">
        <v>372</v>
      </c>
    </row>
    <row r="245" spans="8:8" ht="15" customHeight="1">
      <c r="H245" s="71" t="s">
        <v>373</v>
      </c>
    </row>
    <row r="246" spans="8:8" ht="15" customHeight="1">
      <c r="H246" s="71" t="s">
        <v>374</v>
      </c>
    </row>
    <row r="247" spans="8:8" ht="15" customHeight="1">
      <c r="H247" s="71" t="s">
        <v>375</v>
      </c>
    </row>
    <row r="248" spans="8:8" ht="15" customHeight="1">
      <c r="H248" s="71" t="s">
        <v>376</v>
      </c>
    </row>
    <row r="249" spans="8:8" ht="15" customHeight="1">
      <c r="H249" s="71" t="s">
        <v>377</v>
      </c>
    </row>
    <row r="250" spans="8:8" ht="15" customHeight="1">
      <c r="H250" s="74" t="s">
        <v>378</v>
      </c>
    </row>
    <row r="251" spans="8:8" ht="15" customHeight="1">
      <c r="H251" s="71" t="s">
        <v>378</v>
      </c>
    </row>
    <row r="252" spans="8:8" ht="15" customHeight="1">
      <c r="H252" s="74" t="s">
        <v>379</v>
      </c>
    </row>
    <row r="253" spans="8:8" ht="15" customHeight="1">
      <c r="H253" s="71" t="s">
        <v>379</v>
      </c>
    </row>
    <row r="254" spans="8:8" ht="15" customHeight="1">
      <c r="H254" s="74" t="s">
        <v>380</v>
      </c>
    </row>
    <row r="255" spans="8:8" ht="15" customHeight="1">
      <c r="H255" s="71" t="s">
        <v>380</v>
      </c>
    </row>
    <row r="256" spans="8:8" ht="15" customHeight="1">
      <c r="H256" s="79" t="s">
        <v>381</v>
      </c>
    </row>
    <row r="257" spans="8:8" ht="15" customHeight="1">
      <c r="H257" s="71" t="s">
        <v>381</v>
      </c>
    </row>
    <row r="258" spans="8:8" ht="15" customHeight="1">
      <c r="H258" s="71" t="s">
        <v>382</v>
      </c>
    </row>
    <row r="259" spans="8:8" ht="15" customHeight="1">
      <c r="H259" s="71" t="s">
        <v>383</v>
      </c>
    </row>
    <row r="260" spans="8:8" ht="15" customHeight="1">
      <c r="H260" s="71" t="s">
        <v>384</v>
      </c>
    </row>
    <row r="261" spans="8:8" ht="15" customHeight="1">
      <c r="H261" s="71" t="s">
        <v>385</v>
      </c>
    </row>
    <row r="262" spans="8:8" ht="15" customHeight="1">
      <c r="H262" s="71" t="s">
        <v>386</v>
      </c>
    </row>
    <row r="263" spans="8:8" ht="15" customHeight="1">
      <c r="H263" s="71" t="s">
        <v>387</v>
      </c>
    </row>
    <row r="264" spans="8:8" ht="15" customHeight="1">
      <c r="H264" s="71" t="s">
        <v>388</v>
      </c>
    </row>
    <row r="265" spans="8:8" ht="15" customHeight="1">
      <c r="H265" s="71" t="s">
        <v>389</v>
      </c>
    </row>
    <row r="266" spans="8:8" ht="15" customHeight="1">
      <c r="H266" s="72" t="s">
        <v>390</v>
      </c>
    </row>
    <row r="267" spans="8:8" ht="15" customHeight="1">
      <c r="H267" s="71" t="s">
        <v>391</v>
      </c>
    </row>
    <row r="268" spans="8:8" ht="15" customHeight="1">
      <c r="H268" s="71" t="s">
        <v>392</v>
      </c>
    </row>
    <row r="269" spans="8:8" ht="15" customHeight="1">
      <c r="H269" s="71" t="s">
        <v>393</v>
      </c>
    </row>
    <row r="270" spans="8:8" ht="15" customHeight="1">
      <c r="H270" s="71" t="s">
        <v>394</v>
      </c>
    </row>
    <row r="271" spans="8:8" ht="15" customHeight="1">
      <c r="H271" s="71" t="s">
        <v>395</v>
      </c>
    </row>
    <row r="272" spans="8:8" ht="15" customHeight="1">
      <c r="H272" s="71" t="s">
        <v>396</v>
      </c>
    </row>
    <row r="273" spans="8:8" ht="15" customHeight="1">
      <c r="H273" s="71" t="s">
        <v>397</v>
      </c>
    </row>
    <row r="274" spans="8:8" ht="15" customHeight="1">
      <c r="H274" s="71" t="s">
        <v>398</v>
      </c>
    </row>
    <row r="275" spans="8:8" ht="15" customHeight="1">
      <c r="H275" s="71" t="s">
        <v>399</v>
      </c>
    </row>
    <row r="276" spans="8:8" ht="15" customHeight="1">
      <c r="H276" s="71" t="s">
        <v>400</v>
      </c>
    </row>
    <row r="277" spans="8:8" ht="15" customHeight="1">
      <c r="H277" s="71" t="s">
        <v>401</v>
      </c>
    </row>
    <row r="278" spans="8:8" ht="15" customHeight="1">
      <c r="H278" s="71" t="s">
        <v>402</v>
      </c>
    </row>
    <row r="279" spans="8:8" ht="15" customHeight="1">
      <c r="H279" s="71" t="s">
        <v>403</v>
      </c>
    </row>
    <row r="280" spans="8:8" ht="15" customHeight="1">
      <c r="H280" s="71" t="s">
        <v>404</v>
      </c>
    </row>
    <row r="281" spans="8:8" ht="15" customHeight="1">
      <c r="H281" s="72" t="s">
        <v>405</v>
      </c>
    </row>
    <row r="282" spans="8:8" ht="15" customHeight="1">
      <c r="H282" s="72" t="s">
        <v>406</v>
      </c>
    </row>
    <row r="283" spans="8:8" ht="15" customHeight="1">
      <c r="H283" s="71" t="s">
        <v>407</v>
      </c>
    </row>
    <row r="284" spans="8:8" ht="15" customHeight="1">
      <c r="H284" s="71" t="s">
        <v>408</v>
      </c>
    </row>
    <row r="285" spans="8:8" ht="15" customHeight="1">
      <c r="H285" s="71" t="s">
        <v>409</v>
      </c>
    </row>
    <row r="286" spans="8:8" ht="15" customHeight="1">
      <c r="H286" s="71" t="s">
        <v>410</v>
      </c>
    </row>
    <row r="287" spans="8:8" ht="15" customHeight="1">
      <c r="H287" s="71" t="s">
        <v>411</v>
      </c>
    </row>
    <row r="288" spans="8:8" ht="15" customHeight="1">
      <c r="H288" s="71" t="s">
        <v>411</v>
      </c>
    </row>
    <row r="289" spans="8:8" ht="15" customHeight="1">
      <c r="H289" s="71" t="s">
        <v>412</v>
      </c>
    </row>
    <row r="290" spans="8:8" ht="15" customHeight="1">
      <c r="H290" s="71" t="s">
        <v>413</v>
      </c>
    </row>
    <row r="291" spans="8:8" ht="15" customHeight="1">
      <c r="H291" s="71" t="s">
        <v>414</v>
      </c>
    </row>
    <row r="292" spans="8:8" ht="15" customHeight="1">
      <c r="H292" s="71" t="s">
        <v>415</v>
      </c>
    </row>
    <row r="293" spans="8:8" ht="15" customHeight="1">
      <c r="H293" s="71" t="s">
        <v>416</v>
      </c>
    </row>
    <row r="294" spans="8:8" ht="15" customHeight="1">
      <c r="H294" s="71" t="s">
        <v>417</v>
      </c>
    </row>
    <row r="295" spans="8:8" ht="15" customHeight="1">
      <c r="H295" s="71" t="s">
        <v>418</v>
      </c>
    </row>
    <row r="296" spans="8:8" ht="15" customHeight="1">
      <c r="H296" s="71" t="s">
        <v>419</v>
      </c>
    </row>
    <row r="297" spans="8:8" ht="15" customHeight="1">
      <c r="H297" s="71" t="s">
        <v>420</v>
      </c>
    </row>
    <row r="298" spans="8:8" ht="15" customHeight="1">
      <c r="H298" s="71" t="s">
        <v>421</v>
      </c>
    </row>
    <row r="299" spans="8:8" ht="15" customHeight="1">
      <c r="H299" s="71" t="s">
        <v>422</v>
      </c>
    </row>
    <row r="300" spans="8:8" ht="15" customHeight="1">
      <c r="H300" s="71" t="s">
        <v>423</v>
      </c>
    </row>
    <row r="301" spans="8:8" ht="15" customHeight="1">
      <c r="H301" s="71" t="s">
        <v>424</v>
      </c>
    </row>
    <row r="302" spans="8:8" ht="15" customHeight="1">
      <c r="H302" s="71" t="s">
        <v>425</v>
      </c>
    </row>
    <row r="303" spans="8:8" ht="15" customHeight="1">
      <c r="H303" s="71" t="s">
        <v>426</v>
      </c>
    </row>
    <row r="304" spans="8:8" ht="15" customHeight="1">
      <c r="H304" s="71" t="s">
        <v>427</v>
      </c>
    </row>
    <row r="305" spans="8:8" ht="15" customHeight="1">
      <c r="H305" s="79" t="s">
        <v>428</v>
      </c>
    </row>
    <row r="306" spans="8:8" ht="15" customHeight="1">
      <c r="H306" s="71" t="s">
        <v>428</v>
      </c>
    </row>
    <row r="307" spans="8:8" ht="15" customHeight="1">
      <c r="H307" s="71" t="s">
        <v>429</v>
      </c>
    </row>
    <row r="308" spans="8:8" ht="15" customHeight="1">
      <c r="H308" s="71" t="s">
        <v>430</v>
      </c>
    </row>
    <row r="309" spans="8:8" ht="15" customHeight="1">
      <c r="H309" s="71" t="s">
        <v>431</v>
      </c>
    </row>
    <row r="310" spans="8:8" ht="15" customHeight="1">
      <c r="H310" s="71" t="s">
        <v>432</v>
      </c>
    </row>
    <row r="311" spans="8:8" ht="15" customHeight="1">
      <c r="H311" s="72" t="s">
        <v>433</v>
      </c>
    </row>
    <row r="312" spans="8:8" ht="15" customHeight="1">
      <c r="H312" s="71" t="s">
        <v>434</v>
      </c>
    </row>
    <row r="313" spans="8:8" ht="15" customHeight="1">
      <c r="H313" s="71" t="s">
        <v>435</v>
      </c>
    </row>
    <row r="314" spans="8:8" ht="15" customHeight="1">
      <c r="H314" s="71" t="s">
        <v>436</v>
      </c>
    </row>
    <row r="315" spans="8:8" ht="15" customHeight="1">
      <c r="H315" s="72" t="s">
        <v>437</v>
      </c>
    </row>
    <row r="316" spans="8:8" ht="15" customHeight="1">
      <c r="H316" s="77" t="s">
        <v>438</v>
      </c>
    </row>
    <row r="317" spans="8:8" ht="15" customHeight="1">
      <c r="H317" s="77" t="s">
        <v>439</v>
      </c>
    </row>
    <row r="318" spans="8:8" ht="15" customHeight="1">
      <c r="H318" s="77" t="s">
        <v>440</v>
      </c>
    </row>
    <row r="319" spans="8:8" ht="15" customHeight="1">
      <c r="H319" s="73"/>
    </row>
    <row r="320" spans="8:8" ht="15" customHeight="1">
      <c r="H320" s="71" t="s">
        <v>441</v>
      </c>
    </row>
    <row r="321" spans="8:8" ht="15" customHeight="1">
      <c r="H321" s="71" t="s">
        <v>442</v>
      </c>
    </row>
    <row r="322" spans="8:8" ht="15" customHeight="1">
      <c r="H322" s="73"/>
    </row>
    <row r="323" spans="8:8" ht="15" customHeight="1">
      <c r="H323" s="71" t="s">
        <v>443</v>
      </c>
    </row>
    <row r="324" spans="8:8" ht="15" customHeight="1">
      <c r="H324" s="71" t="s">
        <v>444</v>
      </c>
    </row>
    <row r="325" spans="8:8" ht="15" customHeight="1">
      <c r="H325" s="71" t="s">
        <v>445</v>
      </c>
    </row>
    <row r="326" spans="8:8" ht="15" customHeight="1">
      <c r="H326" s="72" t="s">
        <v>446</v>
      </c>
    </row>
    <row r="327" spans="8:8" ht="15" customHeight="1">
      <c r="H327" s="71" t="s">
        <v>447</v>
      </c>
    </row>
    <row r="328" spans="8:8" ht="15" customHeight="1">
      <c r="H328" s="79" t="s">
        <v>448</v>
      </c>
    </row>
    <row r="329" spans="8:8" ht="15" customHeight="1">
      <c r="H329" s="71" t="s">
        <v>448</v>
      </c>
    </row>
    <row r="330" spans="8:8" ht="15" customHeight="1">
      <c r="H330" s="80" t="s">
        <v>449</v>
      </c>
    </row>
    <row r="331" spans="8:8" ht="15" customHeight="1">
      <c r="H331" s="81" t="s">
        <v>450</v>
      </c>
    </row>
    <row r="332" spans="8:8" ht="15" customHeight="1">
      <c r="H332" s="71" t="s">
        <v>451</v>
      </c>
    </row>
    <row r="333" spans="8:8" ht="15" customHeight="1">
      <c r="H333" s="71" t="s">
        <v>452</v>
      </c>
    </row>
    <row r="334" spans="8:8" ht="15" customHeight="1">
      <c r="H334" s="71" t="s">
        <v>453</v>
      </c>
    </row>
    <row r="335" spans="8:8" ht="15" customHeight="1">
      <c r="H335" s="71" t="s">
        <v>454</v>
      </c>
    </row>
    <row r="336" spans="8:8" ht="15" customHeight="1">
      <c r="H336" s="71" t="s">
        <v>455</v>
      </c>
    </row>
    <row r="337" spans="8:8" ht="15" customHeight="1">
      <c r="H337" s="71" t="s">
        <v>456</v>
      </c>
    </row>
    <row r="338" spans="8:8" ht="15" customHeight="1">
      <c r="H338" s="71" t="s">
        <v>457</v>
      </c>
    </row>
    <row r="339" spans="8:8" ht="15" customHeight="1">
      <c r="H339" s="71" t="s">
        <v>458</v>
      </c>
    </row>
    <row r="340" spans="8:8" ht="15" customHeight="1">
      <c r="H340" s="71" t="s">
        <v>459</v>
      </c>
    </row>
    <row r="341" spans="8:8" ht="15" customHeight="1">
      <c r="H341" s="71" t="s">
        <v>460</v>
      </c>
    </row>
    <row r="342" spans="8:8" ht="15" customHeight="1">
      <c r="H342" s="71" t="s">
        <v>461</v>
      </c>
    </row>
    <row r="343" spans="8:8" ht="15" customHeight="1">
      <c r="H343" s="71" t="s">
        <v>462</v>
      </c>
    </row>
    <row r="344" spans="8:8" ht="15" customHeight="1">
      <c r="H344" s="71" t="s">
        <v>463</v>
      </c>
    </row>
    <row r="345" spans="8:8" ht="15" customHeight="1">
      <c r="H345" s="71" t="s">
        <v>464</v>
      </c>
    </row>
    <row r="346" spans="8:8" ht="15" customHeight="1">
      <c r="H346" s="71" t="s">
        <v>465</v>
      </c>
    </row>
    <row r="347" spans="8:8" ht="15" customHeight="1">
      <c r="H347" s="71" t="s">
        <v>466</v>
      </c>
    </row>
    <row r="348" spans="8:8" ht="15" customHeight="1">
      <c r="H348" s="71" t="s">
        <v>467</v>
      </c>
    </row>
    <row r="349" spans="8:8" ht="15" customHeight="1">
      <c r="H349" s="71" t="s">
        <v>468</v>
      </c>
    </row>
    <row r="350" spans="8:8" ht="15" customHeight="1">
      <c r="H350" s="71" t="s">
        <v>469</v>
      </c>
    </row>
    <row r="351" spans="8:8" ht="15" customHeight="1">
      <c r="H351" s="71" t="s">
        <v>470</v>
      </c>
    </row>
    <row r="352" spans="8:8" ht="15" customHeight="1">
      <c r="H352" s="71" t="s">
        <v>471</v>
      </c>
    </row>
    <row r="353" spans="8:8" ht="15" customHeight="1">
      <c r="H353" s="71" t="s">
        <v>472</v>
      </c>
    </row>
    <row r="354" spans="8:8" ht="15" customHeight="1">
      <c r="H354" s="71" t="s">
        <v>473</v>
      </c>
    </row>
    <row r="355" spans="8:8" ht="15" customHeight="1">
      <c r="H355" s="72" t="s">
        <v>474</v>
      </c>
    </row>
    <row r="356" spans="8:8" ht="15" customHeight="1">
      <c r="H356" s="72" t="s">
        <v>475</v>
      </c>
    </row>
    <row r="357" spans="8:8" ht="15" customHeight="1">
      <c r="H357" s="72" t="s">
        <v>476</v>
      </c>
    </row>
    <row r="358" spans="8:8" ht="15" customHeight="1">
      <c r="H358" s="71" t="s">
        <v>477</v>
      </c>
    </row>
    <row r="359" spans="8:8" ht="15" customHeight="1">
      <c r="H359" s="71" t="s">
        <v>478</v>
      </c>
    </row>
    <row r="360" spans="8:8" ht="15" customHeight="1">
      <c r="H360" s="71" t="s">
        <v>479</v>
      </c>
    </row>
    <row r="361" spans="8:8" ht="15" customHeight="1">
      <c r="H361" s="77" t="s">
        <v>480</v>
      </c>
    </row>
    <row r="362" spans="8:8" ht="15" customHeight="1">
      <c r="H362" s="71" t="s">
        <v>480</v>
      </c>
    </row>
    <row r="363" spans="8:8" ht="15" customHeight="1">
      <c r="H363" s="71" t="s">
        <v>481</v>
      </c>
    </row>
    <row r="364" spans="8:8" ht="15" customHeight="1">
      <c r="H364" s="71" t="s">
        <v>482</v>
      </c>
    </row>
    <row r="365" spans="8:8" ht="15" customHeight="1">
      <c r="H365" s="71" t="s">
        <v>483</v>
      </c>
    </row>
    <row r="366" spans="8:8" ht="15" customHeight="1">
      <c r="H366" s="71" t="s">
        <v>484</v>
      </c>
    </row>
    <row r="367" spans="8:8" ht="15" customHeight="1">
      <c r="H367" s="71" t="s">
        <v>485</v>
      </c>
    </row>
    <row r="368" spans="8:8" ht="15" customHeight="1">
      <c r="H368" s="80" t="s">
        <v>486</v>
      </c>
    </row>
    <row r="369" spans="8:8" ht="15" customHeight="1">
      <c r="H369" s="71" t="s">
        <v>487</v>
      </c>
    </row>
    <row r="370" spans="8:8" ht="15" customHeight="1">
      <c r="H370" s="73"/>
    </row>
    <row r="371" spans="8:8" ht="15" customHeight="1">
      <c r="H371" s="71" t="s">
        <v>488</v>
      </c>
    </row>
    <row r="372" spans="8:8" ht="15" customHeight="1">
      <c r="H372" s="71" t="s">
        <v>489</v>
      </c>
    </row>
    <row r="373" spans="8:8" ht="15" customHeight="1">
      <c r="H373" s="71" t="s">
        <v>490</v>
      </c>
    </row>
    <row r="374" spans="8:8" ht="15" customHeight="1">
      <c r="H374" s="71" t="s">
        <v>491</v>
      </c>
    </row>
    <row r="375" spans="8:8" ht="15" customHeight="1">
      <c r="H375" s="71" t="s">
        <v>492</v>
      </c>
    </row>
    <row r="376" spans="8:8" ht="15" customHeight="1">
      <c r="H376" s="71" t="s">
        <v>493</v>
      </c>
    </row>
    <row r="377" spans="8:8" ht="15" customHeight="1">
      <c r="H377" s="71" t="s">
        <v>494</v>
      </c>
    </row>
    <row r="378" spans="8:8" ht="15" customHeight="1">
      <c r="H378" s="71" t="s">
        <v>495</v>
      </c>
    </row>
    <row r="379" spans="8:8" ht="15" customHeight="1">
      <c r="H379" s="71" t="s">
        <v>496</v>
      </c>
    </row>
    <row r="380" spans="8:8" ht="15" customHeight="1">
      <c r="H380" s="71" t="s">
        <v>497</v>
      </c>
    </row>
    <row r="381" spans="8:8" ht="15" customHeight="1">
      <c r="H381" s="71" t="s">
        <v>498</v>
      </c>
    </row>
    <row r="382" spans="8:8" ht="15" customHeight="1">
      <c r="H382" s="71" t="s">
        <v>499</v>
      </c>
    </row>
    <row r="383" spans="8:8" ht="15" customHeight="1">
      <c r="H383" s="71" t="s">
        <v>500</v>
      </c>
    </row>
    <row r="384" spans="8:8" ht="15" customHeight="1">
      <c r="H384" s="71" t="s">
        <v>501</v>
      </c>
    </row>
    <row r="385" spans="8:8" ht="15" customHeight="1">
      <c r="H385" s="71" t="s">
        <v>502</v>
      </c>
    </row>
    <row r="386" spans="8:8" ht="15" customHeight="1">
      <c r="H386" s="71" t="s">
        <v>503</v>
      </c>
    </row>
    <row r="387" spans="8:8" ht="15" customHeight="1">
      <c r="H387" s="71" t="s">
        <v>504</v>
      </c>
    </row>
    <row r="388" spans="8:8" ht="15" customHeight="1">
      <c r="H388" s="71" t="s">
        <v>505</v>
      </c>
    </row>
    <row r="389" spans="8:8" ht="15" customHeight="1">
      <c r="H389" s="71" t="s">
        <v>506</v>
      </c>
    </row>
    <row r="390" spans="8:8" ht="15" customHeight="1">
      <c r="H390" s="71" t="s">
        <v>507</v>
      </c>
    </row>
    <row r="391" spans="8:8" ht="15" customHeight="1">
      <c r="H391" s="71" t="s">
        <v>508</v>
      </c>
    </row>
    <row r="392" spans="8:8" ht="15" customHeight="1">
      <c r="H392" s="71" t="s">
        <v>509</v>
      </c>
    </row>
    <row r="393" spans="8:8" ht="15" customHeight="1">
      <c r="H393" s="71" t="s">
        <v>510</v>
      </c>
    </row>
    <row r="394" spans="8:8" ht="15" customHeight="1">
      <c r="H394" s="73"/>
    </row>
    <row r="395" spans="8:8" ht="15" customHeight="1">
      <c r="H395" s="71" t="s">
        <v>321</v>
      </c>
    </row>
    <row r="396" spans="8:8" ht="15" customHeight="1">
      <c r="H396" s="71" t="s">
        <v>322</v>
      </c>
    </row>
    <row r="397" spans="8:8" ht="15" customHeight="1">
      <c r="H397" s="71" t="s">
        <v>323</v>
      </c>
    </row>
    <row r="398" spans="8:8" ht="15" customHeight="1">
      <c r="H398" s="71" t="s">
        <v>511</v>
      </c>
    </row>
    <row r="399" spans="8:8" ht="15" customHeight="1">
      <c r="H399" s="71" t="s">
        <v>324</v>
      </c>
    </row>
    <row r="400" spans="8:8" ht="15" customHeight="1">
      <c r="H400" s="71" t="s">
        <v>325</v>
      </c>
    </row>
    <row r="401" spans="8:8" ht="15" customHeight="1">
      <c r="H401" s="71" t="s">
        <v>326</v>
      </c>
    </row>
    <row r="402" spans="8:8" ht="15" customHeight="1">
      <c r="H402" s="71" t="s">
        <v>327</v>
      </c>
    </row>
    <row r="403" spans="8:8" ht="15" customHeight="1">
      <c r="H403" s="71" t="s">
        <v>328</v>
      </c>
    </row>
    <row r="404" spans="8:8" ht="15" customHeight="1">
      <c r="H404" s="71" t="s">
        <v>329</v>
      </c>
    </row>
    <row r="405" spans="8:8" ht="15" customHeight="1">
      <c r="H405" s="71" t="s">
        <v>330</v>
      </c>
    </row>
    <row r="406" spans="8:8" ht="15" customHeight="1">
      <c r="H406" s="71" t="s">
        <v>331</v>
      </c>
    </row>
    <row r="407" spans="8:8" ht="15" customHeight="1">
      <c r="H407" s="71" t="s">
        <v>332</v>
      </c>
    </row>
    <row r="408" spans="8:8" ht="15" customHeight="1">
      <c r="H408" s="71" t="s">
        <v>333</v>
      </c>
    </row>
    <row r="409" spans="8:8" ht="15" customHeight="1">
      <c r="H409" s="71" t="s">
        <v>334</v>
      </c>
    </row>
    <row r="410" spans="8:8" ht="15" customHeight="1">
      <c r="H410" s="71" t="s">
        <v>512</v>
      </c>
    </row>
    <row r="411" spans="8:8" ht="15" customHeight="1">
      <c r="H411" s="71" t="s">
        <v>513</v>
      </c>
    </row>
    <row r="412" spans="8:8" ht="15" customHeight="1">
      <c r="H412" s="71" t="s">
        <v>514</v>
      </c>
    </row>
    <row r="413" spans="8:8" ht="15" customHeight="1">
      <c r="H413" s="71" t="s">
        <v>515</v>
      </c>
    </row>
    <row r="414" spans="8:8" ht="15" customHeight="1">
      <c r="H414" s="71" t="s">
        <v>516</v>
      </c>
    </row>
    <row r="415" spans="8:8" ht="15" customHeight="1">
      <c r="H415" s="71" t="s">
        <v>517</v>
      </c>
    </row>
    <row r="416" spans="8:8" ht="15" customHeight="1">
      <c r="H416" s="71" t="s">
        <v>518</v>
      </c>
    </row>
    <row r="417" spans="8:8" ht="15" customHeight="1">
      <c r="H417" s="71" t="s">
        <v>519</v>
      </c>
    </row>
    <row r="418" spans="8:8" ht="15" customHeight="1">
      <c r="H418" s="71" t="s">
        <v>520</v>
      </c>
    </row>
    <row r="419" spans="8:8" ht="15" customHeight="1">
      <c r="H419" s="72" t="s">
        <v>521</v>
      </c>
    </row>
    <row r="420" spans="8:8" ht="15" customHeight="1">
      <c r="H420" s="72" t="s">
        <v>522</v>
      </c>
    </row>
    <row r="421" spans="8:8" ht="15" customHeight="1">
      <c r="H421" s="71" t="s">
        <v>523</v>
      </c>
    </row>
    <row r="422" spans="8:8" ht="15" customHeight="1">
      <c r="H422" s="71" t="s">
        <v>524</v>
      </c>
    </row>
    <row r="423" spans="8:8" ht="15" customHeight="1">
      <c r="H423" s="71" t="s">
        <v>525</v>
      </c>
    </row>
    <row r="424" spans="8:8" ht="15" customHeight="1">
      <c r="H424" s="71" t="s">
        <v>526</v>
      </c>
    </row>
    <row r="425" spans="8:8" ht="15" customHeight="1">
      <c r="H425" s="71" t="s">
        <v>527</v>
      </c>
    </row>
    <row r="426" spans="8:8" ht="15" customHeight="1">
      <c r="H426" s="71" t="s">
        <v>528</v>
      </c>
    </row>
    <row r="427" spans="8:8" ht="15" customHeight="1">
      <c r="H427" s="71" t="s">
        <v>529</v>
      </c>
    </row>
    <row r="428" spans="8:8" ht="15" customHeight="1">
      <c r="H428" s="71" t="s">
        <v>530</v>
      </c>
    </row>
    <row r="429" spans="8:8" ht="15" customHeight="1">
      <c r="H429" s="71" t="s">
        <v>531</v>
      </c>
    </row>
    <row r="430" spans="8:8" ht="15" customHeight="1">
      <c r="H430" s="71" t="s">
        <v>532</v>
      </c>
    </row>
    <row r="431" spans="8:8" ht="15" customHeight="1">
      <c r="H431" s="71" t="s">
        <v>533</v>
      </c>
    </row>
    <row r="432" spans="8:8" ht="15" customHeight="1">
      <c r="H432" s="72" t="s">
        <v>534</v>
      </c>
    </row>
    <row r="433" spans="8:8" ht="15" customHeight="1">
      <c r="H433" s="71" t="s">
        <v>535</v>
      </c>
    </row>
    <row r="434" spans="8:8" ht="15" customHeight="1">
      <c r="H434" s="71" t="s">
        <v>536</v>
      </c>
    </row>
    <row r="435" spans="8:8" ht="15" customHeight="1">
      <c r="H435" s="71" t="s">
        <v>537</v>
      </c>
    </row>
    <row r="436" spans="8:8" ht="15" customHeight="1">
      <c r="H436" s="71" t="s">
        <v>538</v>
      </c>
    </row>
    <row r="437" spans="8:8" ht="15" customHeight="1">
      <c r="H437" s="71" t="s">
        <v>539</v>
      </c>
    </row>
    <row r="438" spans="8:8" ht="15" customHeight="1">
      <c r="H438" s="71" t="s">
        <v>540</v>
      </c>
    </row>
    <row r="439" spans="8:8" ht="15" customHeight="1">
      <c r="H439" s="72" t="s">
        <v>541</v>
      </c>
    </row>
    <row r="440" spans="8:8" ht="15" customHeight="1">
      <c r="H440" s="72" t="s">
        <v>542</v>
      </c>
    </row>
    <row r="441" spans="8:8" ht="15" customHeight="1">
      <c r="H441" s="71" t="s">
        <v>543</v>
      </c>
    </row>
    <row r="442" spans="8:8" ht="15" customHeight="1">
      <c r="H442" s="71" t="s">
        <v>544</v>
      </c>
    </row>
    <row r="443" spans="8:8" ht="15" customHeight="1">
      <c r="H443" s="71" t="s">
        <v>545</v>
      </c>
    </row>
    <row r="444" spans="8:8" ht="15" customHeight="1">
      <c r="H444" s="71" t="s">
        <v>546</v>
      </c>
    </row>
    <row r="445" spans="8:8" ht="15" customHeight="1">
      <c r="H445" s="71" t="s">
        <v>547</v>
      </c>
    </row>
    <row r="446" spans="8:8" ht="15" customHeight="1">
      <c r="H446" s="71" t="s">
        <v>548</v>
      </c>
    </row>
    <row r="447" spans="8:8" ht="15" customHeight="1">
      <c r="H447" s="71" t="s">
        <v>549</v>
      </c>
    </row>
    <row r="448" spans="8:8" ht="15" customHeight="1">
      <c r="H448" s="71" t="s">
        <v>550</v>
      </c>
    </row>
    <row r="449" spans="8:8" ht="15" customHeight="1">
      <c r="H449" s="71" t="s">
        <v>551</v>
      </c>
    </row>
    <row r="450" spans="8:8" ht="15" customHeight="1">
      <c r="H450" s="71" t="s">
        <v>552</v>
      </c>
    </row>
    <row r="451" spans="8:8" ht="15" customHeight="1">
      <c r="H451" s="71" t="s">
        <v>553</v>
      </c>
    </row>
    <row r="452" spans="8:8" ht="15" customHeight="1">
      <c r="H452" s="71" t="s">
        <v>554</v>
      </c>
    </row>
    <row r="453" spans="8:8" ht="15" customHeight="1">
      <c r="H453" s="71" t="s">
        <v>555</v>
      </c>
    </row>
    <row r="454" spans="8:8" ht="15" customHeight="1">
      <c r="H454" s="71" t="s">
        <v>556</v>
      </c>
    </row>
    <row r="455" spans="8:8" ht="15" customHeight="1">
      <c r="H455" s="71" t="s">
        <v>557</v>
      </c>
    </row>
    <row r="456" spans="8:8" ht="15" customHeight="1">
      <c r="H456" s="72" t="s">
        <v>558</v>
      </c>
    </row>
    <row r="457" spans="8:8" ht="15" customHeight="1">
      <c r="H457" s="71" t="s">
        <v>559</v>
      </c>
    </row>
    <row r="458" spans="8:8" ht="15" customHeight="1">
      <c r="H458" s="71" t="s">
        <v>560</v>
      </c>
    </row>
    <row r="459" spans="8:8" ht="15" customHeight="1">
      <c r="H459" s="76"/>
    </row>
    <row r="460" spans="8:8" ht="15" customHeight="1">
      <c r="H460" s="71" t="s">
        <v>561</v>
      </c>
    </row>
    <row r="461" spans="8:8" ht="15" customHeight="1">
      <c r="H461" s="71" t="s">
        <v>27</v>
      </c>
    </row>
    <row r="462" spans="8:8" ht="15" customHeight="1">
      <c r="H462" s="71" t="s">
        <v>562</v>
      </c>
    </row>
    <row r="463" spans="8:8" ht="15" customHeight="1">
      <c r="H463" s="72" t="s">
        <v>563</v>
      </c>
    </row>
    <row r="464" spans="8:8" ht="15" customHeight="1">
      <c r="H464" s="71" t="s">
        <v>28</v>
      </c>
    </row>
    <row r="465" spans="8:8" ht="15" customHeight="1">
      <c r="H465" s="71" t="s">
        <v>564</v>
      </c>
    </row>
    <row r="466" spans="8:8" ht="15" customHeight="1">
      <c r="H466" s="71" t="s">
        <v>565</v>
      </c>
    </row>
    <row r="467" spans="8:8" ht="15" customHeight="1">
      <c r="H467" s="71" t="s">
        <v>566</v>
      </c>
    </row>
    <row r="468" spans="8:8" ht="15" customHeight="1">
      <c r="H468" s="71" t="s">
        <v>567</v>
      </c>
    </row>
    <row r="469" spans="8:8" ht="15" customHeight="1">
      <c r="H469" s="71" t="s">
        <v>568</v>
      </c>
    </row>
    <row r="470" spans="8:8" ht="15" customHeight="1">
      <c r="H470" s="71" t="s">
        <v>569</v>
      </c>
    </row>
    <row r="471" spans="8:8" ht="15" customHeight="1">
      <c r="H471" s="71" t="s">
        <v>570</v>
      </c>
    </row>
    <row r="472" spans="8:8" ht="15" customHeight="1">
      <c r="H472" s="71" t="s">
        <v>571</v>
      </c>
    </row>
    <row r="473" spans="8:8" ht="15" customHeight="1">
      <c r="H473" s="71" t="s">
        <v>572</v>
      </c>
    </row>
    <row r="474" spans="8:8" ht="15" customHeight="1">
      <c r="H474" s="71" t="s">
        <v>573</v>
      </c>
    </row>
    <row r="475" spans="8:8" ht="15" customHeight="1">
      <c r="H475" s="72" t="s">
        <v>574</v>
      </c>
    </row>
    <row r="476" spans="8:8" ht="15" customHeight="1">
      <c r="H476" s="71" t="s">
        <v>575</v>
      </c>
    </row>
    <row r="477" spans="8:8" ht="15" customHeight="1">
      <c r="H477" s="71" t="s">
        <v>576</v>
      </c>
    </row>
    <row r="478" spans="8:8" ht="15" customHeight="1">
      <c r="H478" s="71" t="s">
        <v>577</v>
      </c>
    </row>
    <row r="479" spans="8:8" ht="15" customHeight="1">
      <c r="H479" s="71" t="s">
        <v>578</v>
      </c>
    </row>
    <row r="480" spans="8:8" ht="15" customHeight="1">
      <c r="H480" s="71" t="s">
        <v>579</v>
      </c>
    </row>
    <row r="481" spans="8:8" ht="15" customHeight="1">
      <c r="H481" s="71" t="s">
        <v>580</v>
      </c>
    </row>
    <row r="482" spans="8:8" ht="15" customHeight="1">
      <c r="H482" s="71" t="s">
        <v>581</v>
      </c>
    </row>
    <row r="483" spans="8:8" ht="15" customHeight="1">
      <c r="H483" s="71" t="s">
        <v>582</v>
      </c>
    </row>
    <row r="484" spans="8:8" ht="15" customHeight="1">
      <c r="H484" s="71" t="s">
        <v>583</v>
      </c>
    </row>
    <row r="485" spans="8:8" ht="15" customHeight="1">
      <c r="H485" s="71" t="s">
        <v>584</v>
      </c>
    </row>
    <row r="486" spans="8:8" ht="15" customHeight="1">
      <c r="H486" s="71" t="s">
        <v>29</v>
      </c>
    </row>
    <row r="487" spans="8:8" ht="15" customHeight="1">
      <c r="H487" s="71" t="s">
        <v>585</v>
      </c>
    </row>
    <row r="488" spans="8:8" ht="15" customHeight="1">
      <c r="H488" s="71" t="s">
        <v>586</v>
      </c>
    </row>
    <row r="489" spans="8:8" ht="15" customHeight="1">
      <c r="H489" s="71" t="s">
        <v>587</v>
      </c>
    </row>
    <row r="490" spans="8:8" ht="15" customHeight="1">
      <c r="H490" s="71" t="s">
        <v>588</v>
      </c>
    </row>
    <row r="491" spans="8:8" ht="15" customHeight="1">
      <c r="H491" s="71" t="s">
        <v>589</v>
      </c>
    </row>
    <row r="492" spans="8:8" ht="15" customHeight="1">
      <c r="H492" s="71" t="s">
        <v>590</v>
      </c>
    </row>
    <row r="493" spans="8:8" ht="15" customHeight="1">
      <c r="H493" s="71" t="s">
        <v>591</v>
      </c>
    </row>
    <row r="494" spans="8:8" ht="15" customHeight="1">
      <c r="H494" s="71" t="s">
        <v>592</v>
      </c>
    </row>
    <row r="495" spans="8:8" ht="15" customHeight="1">
      <c r="H495" s="71" t="s">
        <v>593</v>
      </c>
    </row>
    <row r="496" spans="8:8" ht="15" customHeight="1">
      <c r="H496" s="71" t="s">
        <v>594</v>
      </c>
    </row>
    <row r="497" spans="8:8" ht="15" customHeight="1">
      <c r="H497" s="71" t="s">
        <v>595</v>
      </c>
    </row>
    <row r="498" spans="8:8" ht="15" customHeight="1">
      <c r="H498" s="71" t="s">
        <v>596</v>
      </c>
    </row>
    <row r="499" spans="8:8" ht="15" customHeight="1">
      <c r="H499" s="71" t="s">
        <v>597</v>
      </c>
    </row>
    <row r="500" spans="8:8" ht="15" customHeight="1">
      <c r="H500" s="71" t="s">
        <v>598</v>
      </c>
    </row>
    <row r="501" spans="8:8" ht="15" customHeight="1">
      <c r="H501" s="71" t="s">
        <v>599</v>
      </c>
    </row>
    <row r="502" spans="8:8" ht="15" customHeight="1">
      <c r="H502" s="71" t="s">
        <v>600</v>
      </c>
    </row>
    <row r="503" spans="8:8" ht="15" customHeight="1">
      <c r="H503" s="71" t="s">
        <v>601</v>
      </c>
    </row>
    <row r="504" spans="8:8" ht="15" customHeight="1">
      <c r="H504" s="71" t="s">
        <v>602</v>
      </c>
    </row>
    <row r="505" spans="8:8" ht="15" customHeight="1">
      <c r="H505" s="71" t="s">
        <v>603</v>
      </c>
    </row>
    <row r="506" spans="8:8" ht="15" customHeight="1">
      <c r="H506" s="71" t="s">
        <v>604</v>
      </c>
    </row>
    <row r="507" spans="8:8" ht="15" customHeight="1">
      <c r="H507" s="71" t="s">
        <v>605</v>
      </c>
    </row>
    <row r="508" spans="8:8" ht="15" customHeight="1">
      <c r="H508" s="71" t="s">
        <v>606</v>
      </c>
    </row>
    <row r="509" spans="8:8" ht="15" customHeight="1">
      <c r="H509" s="71" t="s">
        <v>607</v>
      </c>
    </row>
    <row r="510" spans="8:8" ht="15" customHeight="1">
      <c r="H510" s="71" t="s">
        <v>608</v>
      </c>
    </row>
    <row r="511" spans="8:8" ht="15" customHeight="1">
      <c r="H511" s="71" t="s">
        <v>609</v>
      </c>
    </row>
    <row r="512" spans="8:8" ht="15" customHeight="1">
      <c r="H512" s="71" t="s">
        <v>610</v>
      </c>
    </row>
    <row r="513" spans="8:8" ht="15" customHeight="1">
      <c r="H513" s="71" t="s">
        <v>611</v>
      </c>
    </row>
    <row r="514" spans="8:8" ht="15" customHeight="1">
      <c r="H514" s="71" t="s">
        <v>612</v>
      </c>
    </row>
    <row r="515" spans="8:8" ht="15" customHeight="1">
      <c r="H515" s="71" t="s">
        <v>613</v>
      </c>
    </row>
    <row r="516" spans="8:8" ht="15" customHeight="1">
      <c r="H516" s="71" t="s">
        <v>614</v>
      </c>
    </row>
    <row r="517" spans="8:8" ht="15" customHeight="1">
      <c r="H517" s="71" t="s">
        <v>615</v>
      </c>
    </row>
    <row r="518" spans="8:8" ht="15" customHeight="1">
      <c r="H518" s="71" t="s">
        <v>616</v>
      </c>
    </row>
    <row r="519" spans="8:8" ht="15" customHeight="1">
      <c r="H519" s="71" t="s">
        <v>617</v>
      </c>
    </row>
    <row r="520" spans="8:8" ht="15" customHeight="1">
      <c r="H520" s="71" t="s">
        <v>618</v>
      </c>
    </row>
    <row r="521" spans="8:8" ht="15" customHeight="1">
      <c r="H521" s="71" t="s">
        <v>619</v>
      </c>
    </row>
    <row r="522" spans="8:8" ht="15" customHeight="1">
      <c r="H522" s="76"/>
    </row>
    <row r="523" spans="8:8" ht="15" customHeight="1">
      <c r="H523" s="75" t="s">
        <v>620</v>
      </c>
    </row>
    <row r="524" spans="8:8" ht="15" customHeight="1">
      <c r="H524" s="75" t="s">
        <v>621</v>
      </c>
    </row>
    <row r="525" spans="8:8" ht="15" customHeight="1">
      <c r="H525" s="75" t="s">
        <v>622</v>
      </c>
    </row>
    <row r="526" spans="8:8" ht="15" customHeight="1">
      <c r="H526" s="75" t="s">
        <v>623</v>
      </c>
    </row>
    <row r="527" spans="8:8" ht="15" customHeight="1">
      <c r="H527" s="75" t="s">
        <v>624</v>
      </c>
    </row>
    <row r="528" spans="8:8" ht="15" customHeight="1">
      <c r="H528" s="75" t="s">
        <v>625</v>
      </c>
    </row>
    <row r="529" spans="8:8" ht="15" customHeight="1">
      <c r="H529" s="75" t="s">
        <v>626</v>
      </c>
    </row>
    <row r="530" spans="8:8" ht="15" customHeight="1">
      <c r="H530" s="75" t="s">
        <v>627</v>
      </c>
    </row>
    <row r="531" spans="8:8" ht="15" customHeight="1">
      <c r="H531" s="75" t="s">
        <v>628</v>
      </c>
    </row>
    <row r="532" spans="8:8" ht="15" customHeight="1">
      <c r="H532" s="75" t="s">
        <v>629</v>
      </c>
    </row>
    <row r="533" spans="8:8" ht="15" customHeight="1">
      <c r="H533" s="75" t="s">
        <v>630</v>
      </c>
    </row>
    <row r="534" spans="8:8" ht="15" customHeight="1">
      <c r="H534" s="75" t="s">
        <v>631</v>
      </c>
    </row>
    <row r="535" spans="8:8" ht="15" customHeight="1">
      <c r="H535" s="75" t="s">
        <v>632</v>
      </c>
    </row>
    <row r="536" spans="8:8" ht="15" customHeight="1">
      <c r="H536" s="75" t="s">
        <v>633</v>
      </c>
    </row>
    <row r="537" spans="8:8" ht="15" customHeight="1">
      <c r="H537" s="75" t="s">
        <v>634</v>
      </c>
    </row>
    <row r="538" spans="8:8" ht="15" customHeight="1">
      <c r="H538" s="71" t="s">
        <v>635</v>
      </c>
    </row>
    <row r="539" spans="8:8" ht="15" customHeight="1">
      <c r="H539" s="71" t="s">
        <v>636</v>
      </c>
    </row>
    <row r="540" spans="8:8" ht="15" customHeight="1">
      <c r="H540" s="71" t="s">
        <v>637</v>
      </c>
    </row>
    <row r="541" spans="8:8" ht="15" customHeight="1">
      <c r="H541" s="71" t="s">
        <v>638</v>
      </c>
    </row>
    <row r="542" spans="8:8" ht="15" customHeight="1">
      <c r="H542" s="73"/>
    </row>
    <row r="543" spans="8:8" ht="15" customHeight="1">
      <c r="H543" s="75" t="s">
        <v>639</v>
      </c>
    </row>
    <row r="544" spans="8:8" ht="15" customHeight="1">
      <c r="H544" s="75" t="s">
        <v>640</v>
      </c>
    </row>
    <row r="545" spans="8:8" ht="15" customHeight="1">
      <c r="H545" s="75" t="s">
        <v>641</v>
      </c>
    </row>
    <row r="546" spans="8:8" ht="15" customHeight="1">
      <c r="H546" s="75" t="s">
        <v>642</v>
      </c>
    </row>
    <row r="547" spans="8:8" ht="15" customHeight="1">
      <c r="H547" s="75" t="s">
        <v>643</v>
      </c>
    </row>
    <row r="548" spans="8:8" ht="15" customHeight="1">
      <c r="H548" s="73"/>
    </row>
    <row r="549" spans="8:8" ht="15" customHeight="1">
      <c r="H549" s="75" t="s">
        <v>644</v>
      </c>
    </row>
    <row r="550" spans="8:8" ht="15" customHeight="1">
      <c r="H550" s="75" t="s">
        <v>645</v>
      </c>
    </row>
    <row r="551" spans="8:8" ht="15" customHeight="1">
      <c r="H551" s="73"/>
    </row>
    <row r="552" spans="8:8" ht="15" customHeight="1">
      <c r="H552" s="71" t="s">
        <v>646</v>
      </c>
    </row>
    <row r="553" spans="8:8" ht="15" customHeight="1">
      <c r="H553" s="71" t="s">
        <v>647</v>
      </c>
    </row>
    <row r="554" spans="8:8" ht="15" customHeight="1">
      <c r="H554" s="73"/>
    </row>
    <row r="555" spans="8:8" ht="15" customHeight="1">
      <c r="H555" s="71" t="s">
        <v>648</v>
      </c>
    </row>
    <row r="556" spans="8:8" ht="15" customHeight="1">
      <c r="H556" s="71" t="s">
        <v>649</v>
      </c>
    </row>
    <row r="557" spans="8:8" ht="15" customHeight="1">
      <c r="H557" s="71" t="s">
        <v>650</v>
      </c>
    </row>
    <row r="558" spans="8:8" ht="15" customHeight="1">
      <c r="H558" s="73"/>
    </row>
    <row r="559" spans="8:8" ht="15" customHeight="1">
      <c r="H559" s="71" t="s">
        <v>651</v>
      </c>
    </row>
    <row r="560" spans="8:8" ht="15" customHeight="1">
      <c r="H560" s="71" t="s">
        <v>652</v>
      </c>
    </row>
    <row r="561" spans="8:8" ht="15" customHeight="1">
      <c r="H561" s="71" t="s">
        <v>653</v>
      </c>
    </row>
    <row r="562" spans="8:8" ht="15" customHeight="1">
      <c r="H562" s="71" t="s">
        <v>654</v>
      </c>
    </row>
    <row r="563" spans="8:8" ht="15" customHeight="1">
      <c r="H563" s="71" t="s">
        <v>655</v>
      </c>
    </row>
    <row r="564" spans="8:8" ht="15" customHeight="1">
      <c r="H564" s="71" t="s">
        <v>656</v>
      </c>
    </row>
    <row r="565" spans="8:8" ht="15" customHeight="1">
      <c r="H565" s="71" t="s">
        <v>657</v>
      </c>
    </row>
    <row r="566" spans="8:8" ht="15" customHeight="1">
      <c r="H566" s="71" t="s">
        <v>658</v>
      </c>
    </row>
    <row r="567" spans="8:8" ht="15" customHeight="1">
      <c r="H567" s="71" t="s">
        <v>659</v>
      </c>
    </row>
    <row r="568" spans="8:8" ht="15" customHeight="1">
      <c r="H568" s="73"/>
    </row>
    <row r="569" spans="8:8" ht="15" customHeight="1">
      <c r="H569" s="71" t="s">
        <v>660</v>
      </c>
    </row>
    <row r="570" spans="8:8" ht="15" customHeight="1">
      <c r="H570" s="71" t="s">
        <v>661</v>
      </c>
    </row>
    <row r="571" spans="8:8" ht="15" customHeight="1">
      <c r="H571" s="71" t="s">
        <v>662</v>
      </c>
    </row>
    <row r="572" spans="8:8" ht="15" customHeight="1">
      <c r="H572" s="71" t="s">
        <v>663</v>
      </c>
    </row>
    <row r="573" spans="8:8" ht="15" customHeight="1">
      <c r="H573" s="72" t="s">
        <v>664</v>
      </c>
    </row>
    <row r="574" spans="8:8" ht="15" customHeight="1">
      <c r="H574" s="71" t="s">
        <v>665</v>
      </c>
    </row>
    <row r="575" spans="8:8" ht="15" customHeight="1">
      <c r="H575" s="72" t="s">
        <v>666</v>
      </c>
    </row>
    <row r="576" spans="8:8" ht="15" customHeight="1">
      <c r="H576" s="71" t="s">
        <v>667</v>
      </c>
    </row>
    <row r="577" spans="8:8" ht="15" customHeight="1">
      <c r="H577" s="71" t="s">
        <v>668</v>
      </c>
    </row>
    <row r="578" spans="8:8" ht="15" customHeight="1">
      <c r="H578" s="71" t="s">
        <v>669</v>
      </c>
    </row>
    <row r="579" spans="8:8" ht="15" customHeight="1">
      <c r="H579" s="71" t="s">
        <v>670</v>
      </c>
    </row>
    <row r="580" spans="8:8" ht="15" customHeight="1">
      <c r="H580" s="71" t="s">
        <v>671</v>
      </c>
    </row>
    <row r="581" spans="8:8" ht="15" customHeight="1">
      <c r="H581" s="71" t="s">
        <v>672</v>
      </c>
    </row>
    <row r="582" spans="8:8" ht="15" customHeight="1">
      <c r="H582" s="71" t="s">
        <v>673</v>
      </c>
    </row>
    <row r="583" spans="8:8" ht="15" customHeight="1">
      <c r="H583" s="71" t="s">
        <v>674</v>
      </c>
    </row>
    <row r="584" spans="8:8" ht="15" customHeight="1">
      <c r="H584" s="71" t="s">
        <v>675</v>
      </c>
    </row>
    <row r="585" spans="8:8" ht="15" customHeight="1">
      <c r="H585" s="71" t="s">
        <v>676</v>
      </c>
    </row>
    <row r="586" spans="8:8" ht="15" customHeight="1">
      <c r="H586" s="71" t="s">
        <v>677</v>
      </c>
    </row>
    <row r="587" spans="8:8" ht="15" customHeight="1">
      <c r="H587" s="76"/>
    </row>
    <row r="588" spans="8:8" ht="15" customHeight="1">
      <c r="H588" s="71" t="s">
        <v>678</v>
      </c>
    </row>
    <row r="589" spans="8:8" ht="15" customHeight="1">
      <c r="H589" s="71" t="s">
        <v>679</v>
      </c>
    </row>
    <row r="590" spans="8:8" ht="15" customHeight="1">
      <c r="H590" s="71" t="s">
        <v>680</v>
      </c>
    </row>
    <row r="591" spans="8:8" ht="15" customHeight="1">
      <c r="H591" s="73"/>
    </row>
    <row r="592" spans="8:8" ht="15" customHeight="1">
      <c r="H592" s="71" t="s">
        <v>681</v>
      </c>
    </row>
    <row r="593" spans="8:8" ht="15" customHeight="1">
      <c r="H593" s="71" t="s">
        <v>682</v>
      </c>
    </row>
    <row r="594" spans="8:8" ht="15" customHeight="1">
      <c r="H594" s="71" t="s">
        <v>683</v>
      </c>
    </row>
    <row r="595" spans="8:8" ht="15" customHeight="1">
      <c r="H595" s="71" t="s">
        <v>684</v>
      </c>
    </row>
    <row r="596" spans="8:8" ht="15" customHeight="1">
      <c r="H596" s="71" t="s">
        <v>685</v>
      </c>
    </row>
    <row r="597" spans="8:8" ht="15" customHeight="1">
      <c r="H597" s="71" t="s">
        <v>686</v>
      </c>
    </row>
    <row r="598" spans="8:8" ht="15" customHeight="1">
      <c r="H598" s="71" t="s">
        <v>687</v>
      </c>
    </row>
    <row r="599" spans="8:8" ht="15" customHeight="1">
      <c r="H599" s="71" t="s">
        <v>688</v>
      </c>
    </row>
    <row r="600" spans="8:8" ht="15" customHeight="1">
      <c r="H600" s="71" t="s">
        <v>689</v>
      </c>
    </row>
    <row r="601" spans="8:8" ht="15" customHeight="1">
      <c r="H601" s="71" t="s">
        <v>690</v>
      </c>
    </row>
    <row r="602" spans="8:8" ht="15" customHeight="1">
      <c r="H602" s="71" t="s">
        <v>691</v>
      </c>
    </row>
    <row r="603" spans="8:8" ht="15" customHeight="1">
      <c r="H603" s="71" t="s">
        <v>692</v>
      </c>
    </row>
    <row r="604" spans="8:8" ht="15" customHeight="1">
      <c r="H604" s="71" t="s">
        <v>693</v>
      </c>
    </row>
    <row r="605" spans="8:8" ht="15" customHeight="1">
      <c r="H605" s="71" t="s">
        <v>694</v>
      </c>
    </row>
    <row r="606" spans="8:8" ht="15" customHeight="1">
      <c r="H606" s="71" t="s">
        <v>695</v>
      </c>
    </row>
    <row r="607" spans="8:8" ht="15" customHeight="1">
      <c r="H607" s="71" t="s">
        <v>696</v>
      </c>
    </row>
    <row r="608" spans="8:8" ht="15" customHeight="1">
      <c r="H608" s="71" t="s">
        <v>697</v>
      </c>
    </row>
    <row r="609" spans="8:8" ht="15" customHeight="1">
      <c r="H609" s="71" t="s">
        <v>698</v>
      </c>
    </row>
    <row r="610" spans="8:8" ht="15" customHeight="1">
      <c r="H610" s="71" t="s">
        <v>699</v>
      </c>
    </row>
    <row r="611" spans="8:8" ht="15" customHeight="1">
      <c r="H611" s="71" t="s">
        <v>700</v>
      </c>
    </row>
    <row r="612" spans="8:8" ht="15" customHeight="1">
      <c r="H612" s="71" t="s">
        <v>701</v>
      </c>
    </row>
    <row r="613" spans="8:8" ht="15" customHeight="1">
      <c r="H613" s="71" t="s">
        <v>702</v>
      </c>
    </row>
    <row r="614" spans="8:8" ht="15" customHeight="1">
      <c r="H614" s="71" t="s">
        <v>703</v>
      </c>
    </row>
    <row r="615" spans="8:8" ht="15" customHeight="1">
      <c r="H615" s="71" t="s">
        <v>704</v>
      </c>
    </row>
    <row r="616" spans="8:8" ht="15" customHeight="1">
      <c r="H616" s="71" t="s">
        <v>705</v>
      </c>
    </row>
    <row r="617" spans="8:8" ht="15" customHeight="1">
      <c r="H617" s="71" t="s">
        <v>706</v>
      </c>
    </row>
    <row r="618" spans="8:8" ht="15" customHeight="1">
      <c r="H618" s="71" t="s">
        <v>707</v>
      </c>
    </row>
    <row r="619" spans="8:8" ht="15" customHeight="1">
      <c r="H619" s="71" t="s">
        <v>708</v>
      </c>
    </row>
    <row r="620" spans="8:8" ht="15" customHeight="1">
      <c r="H620" s="71" t="s">
        <v>709</v>
      </c>
    </row>
    <row r="621" spans="8:8" ht="15" customHeight="1">
      <c r="H621" s="71" t="s">
        <v>710</v>
      </c>
    </row>
    <row r="622" spans="8:8" ht="15" customHeight="1">
      <c r="H622" s="82" t="s">
        <v>711</v>
      </c>
    </row>
    <row r="623" spans="8:8" ht="15" customHeight="1">
      <c r="H623" s="82" t="s">
        <v>712</v>
      </c>
    </row>
    <row r="624" spans="8:8" ht="15" customHeight="1">
      <c r="H624" s="82" t="s">
        <v>713</v>
      </c>
    </row>
    <row r="625" spans="8:8" ht="15" customHeight="1">
      <c r="H625" s="71" t="s">
        <v>714</v>
      </c>
    </row>
    <row r="626" spans="8:8" ht="15" customHeight="1">
      <c r="H626" s="71" t="s">
        <v>715</v>
      </c>
    </row>
    <row r="627" spans="8:8" ht="15" customHeight="1">
      <c r="H627" s="71" t="s">
        <v>716</v>
      </c>
    </row>
    <row r="628" spans="8:8" ht="15" customHeight="1">
      <c r="H628" s="71" t="s">
        <v>717</v>
      </c>
    </row>
    <row r="629" spans="8:8" ht="15" customHeight="1">
      <c r="H629" s="71" t="s">
        <v>718</v>
      </c>
    </row>
    <row r="630" spans="8:8" ht="15" customHeight="1">
      <c r="H630" s="71" t="s">
        <v>719</v>
      </c>
    </row>
    <row r="631" spans="8:8" ht="15" customHeight="1">
      <c r="H631" s="72" t="s">
        <v>720</v>
      </c>
    </row>
    <row r="632" spans="8:8" ht="15" customHeight="1">
      <c r="H632" s="71" t="s">
        <v>721</v>
      </c>
    </row>
    <row r="633" spans="8:8" ht="15" customHeight="1">
      <c r="H633" s="71" t="s">
        <v>722</v>
      </c>
    </row>
    <row r="634" spans="8:8" ht="15" customHeight="1">
      <c r="H634" s="71" t="s">
        <v>723</v>
      </c>
    </row>
    <row r="635" spans="8:8" ht="15" customHeight="1">
      <c r="H635" s="71" t="s">
        <v>724</v>
      </c>
    </row>
    <row r="636" spans="8:8" ht="15" customHeight="1">
      <c r="H636" s="71" t="s">
        <v>725</v>
      </c>
    </row>
    <row r="637" spans="8:8" ht="15" customHeight="1">
      <c r="H637" s="71" t="s">
        <v>726</v>
      </c>
    </row>
    <row r="638" spans="8:8" ht="15" customHeight="1">
      <c r="H638" s="71" t="s">
        <v>727</v>
      </c>
    </row>
    <row r="639" spans="8:8" ht="15" customHeight="1">
      <c r="H639" s="71" t="s">
        <v>728</v>
      </c>
    </row>
    <row r="640" spans="8:8" ht="15" customHeight="1">
      <c r="H640" s="71" t="s">
        <v>729</v>
      </c>
    </row>
    <row r="641" spans="8:8" ht="15" customHeight="1">
      <c r="H641" s="71" t="s">
        <v>730</v>
      </c>
    </row>
    <row r="642" spans="8:8" ht="15" customHeight="1">
      <c r="H642" s="71" t="s">
        <v>731</v>
      </c>
    </row>
    <row r="643" spans="8:8" ht="15" customHeight="1">
      <c r="H643" s="71" t="s">
        <v>732</v>
      </c>
    </row>
    <row r="644" spans="8:8" ht="15" customHeight="1">
      <c r="H644" s="71" t="s">
        <v>733</v>
      </c>
    </row>
    <row r="645" spans="8:8" ht="15" customHeight="1">
      <c r="H645" s="71" t="s">
        <v>734</v>
      </c>
    </row>
    <row r="646" spans="8:8" ht="15" customHeight="1">
      <c r="H646" s="71" t="s">
        <v>735</v>
      </c>
    </row>
    <row r="647" spans="8:8" ht="15" customHeight="1">
      <c r="H647" s="71" t="s">
        <v>736</v>
      </c>
    </row>
    <row r="648" spans="8:8" ht="15" customHeight="1">
      <c r="H648" s="71" t="s">
        <v>737</v>
      </c>
    </row>
    <row r="649" spans="8:8" ht="15" customHeight="1">
      <c r="H649" s="71" t="s">
        <v>738</v>
      </c>
    </row>
    <row r="650" spans="8:8" ht="15" customHeight="1">
      <c r="H650" s="71" t="s">
        <v>739</v>
      </c>
    </row>
    <row r="651" spans="8:8" ht="15" customHeight="1">
      <c r="H651" s="72" t="s">
        <v>740</v>
      </c>
    </row>
    <row r="652" spans="8:8" ht="15" customHeight="1">
      <c r="H652" s="71" t="s">
        <v>741</v>
      </c>
    </row>
    <row r="653" spans="8:8" ht="15" customHeight="1">
      <c r="H653" s="71" t="s">
        <v>742</v>
      </c>
    </row>
    <row r="654" spans="8:8" ht="15" customHeight="1">
      <c r="H654" s="72" t="s">
        <v>743</v>
      </c>
    </row>
    <row r="655" spans="8:8" ht="15" customHeight="1">
      <c r="H655" s="71" t="s">
        <v>744</v>
      </c>
    </row>
    <row r="656" spans="8:8" ht="15" customHeight="1">
      <c r="H656" s="71" t="s">
        <v>745</v>
      </c>
    </row>
    <row r="657" spans="8:8" ht="15" customHeight="1">
      <c r="H657" s="71" t="s">
        <v>746</v>
      </c>
    </row>
    <row r="658" spans="8:8" ht="15" customHeight="1">
      <c r="H658" s="72" t="s">
        <v>747</v>
      </c>
    </row>
    <row r="659" spans="8:8" ht="15" customHeight="1">
      <c r="H659" s="71" t="s">
        <v>748</v>
      </c>
    </row>
    <row r="660" spans="8:8" ht="15" customHeight="1">
      <c r="H660" s="71" t="s">
        <v>749</v>
      </c>
    </row>
    <row r="661" spans="8:8" ht="15" customHeight="1">
      <c r="H661" s="71" t="s">
        <v>750</v>
      </c>
    </row>
    <row r="662" spans="8:8" ht="15" customHeight="1">
      <c r="H662" s="71" t="s">
        <v>751</v>
      </c>
    </row>
    <row r="663" spans="8:8" ht="15" customHeight="1">
      <c r="H663" s="71" t="s">
        <v>752</v>
      </c>
    </row>
    <row r="664" spans="8:8" ht="15" customHeight="1">
      <c r="H664" s="71" t="s">
        <v>753</v>
      </c>
    </row>
    <row r="665" spans="8:8" ht="15" customHeight="1">
      <c r="H665" s="71" t="s">
        <v>754</v>
      </c>
    </row>
    <row r="666" spans="8:8" ht="15" customHeight="1">
      <c r="H666" s="71" t="s">
        <v>755</v>
      </c>
    </row>
    <row r="667" spans="8:8" ht="15" customHeight="1">
      <c r="H667" s="71" t="s">
        <v>756</v>
      </c>
    </row>
    <row r="668" spans="8:8" ht="15" customHeight="1">
      <c r="H668" s="71" t="s">
        <v>757</v>
      </c>
    </row>
    <row r="669" spans="8:8" ht="15" customHeight="1">
      <c r="H669" s="71" t="s">
        <v>758</v>
      </c>
    </row>
    <row r="670" spans="8:8" ht="15" customHeight="1">
      <c r="H670" s="71" t="s">
        <v>759</v>
      </c>
    </row>
    <row r="671" spans="8:8" ht="15" customHeight="1">
      <c r="H671" s="71" t="s">
        <v>760</v>
      </c>
    </row>
    <row r="672" spans="8:8" ht="15" customHeight="1">
      <c r="H672" s="71" t="s">
        <v>761</v>
      </c>
    </row>
    <row r="673" spans="8:8" ht="15" customHeight="1">
      <c r="H673" s="71" t="s">
        <v>762</v>
      </c>
    </row>
    <row r="674" spans="8:8" ht="15" customHeight="1">
      <c r="H674" s="71" t="s">
        <v>763</v>
      </c>
    </row>
    <row r="675" spans="8:8" ht="15" customHeight="1">
      <c r="H675" s="71" t="s">
        <v>764</v>
      </c>
    </row>
    <row r="676" spans="8:8" ht="15" customHeight="1">
      <c r="H676" s="71" t="s">
        <v>765</v>
      </c>
    </row>
    <row r="677" spans="8:8" ht="15" customHeight="1">
      <c r="H677" s="71" t="s">
        <v>766</v>
      </c>
    </row>
    <row r="678" spans="8:8" ht="15" customHeight="1">
      <c r="H678" s="71" t="s">
        <v>767</v>
      </c>
    </row>
    <row r="679" spans="8:8" ht="15" customHeight="1">
      <c r="H679" s="71" t="s">
        <v>768</v>
      </c>
    </row>
    <row r="680" spans="8:8" ht="15" customHeight="1">
      <c r="H680" s="71" t="s">
        <v>769</v>
      </c>
    </row>
    <row r="681" spans="8:8" ht="15" customHeight="1">
      <c r="H681" s="71" t="s">
        <v>770</v>
      </c>
    </row>
    <row r="682" spans="8:8" ht="15" customHeight="1">
      <c r="H682" s="71" t="s">
        <v>771</v>
      </c>
    </row>
    <row r="683" spans="8:8" ht="15" customHeight="1">
      <c r="H683" s="71" t="s">
        <v>772</v>
      </c>
    </row>
    <row r="684" spans="8:8" ht="15" customHeight="1">
      <c r="H684" s="71" t="s">
        <v>773</v>
      </c>
    </row>
    <row r="685" spans="8:8" ht="15" customHeight="1">
      <c r="H685" s="71" t="s">
        <v>774</v>
      </c>
    </row>
    <row r="686" spans="8:8" ht="15" customHeight="1">
      <c r="H686" s="71" t="s">
        <v>775</v>
      </c>
    </row>
    <row r="687" spans="8:8" ht="15" customHeight="1">
      <c r="H687" s="71" t="s">
        <v>776</v>
      </c>
    </row>
    <row r="688" spans="8:8" ht="15" customHeight="1">
      <c r="H688" s="71" t="s">
        <v>777</v>
      </c>
    </row>
    <row r="689" spans="8:8" ht="15" customHeight="1">
      <c r="H689" s="71" t="s">
        <v>778</v>
      </c>
    </row>
    <row r="690" spans="8:8" ht="15" customHeight="1">
      <c r="H690" s="71" t="s">
        <v>779</v>
      </c>
    </row>
    <row r="691" spans="8:8" ht="15" customHeight="1">
      <c r="H691" s="71" t="s">
        <v>780</v>
      </c>
    </row>
    <row r="692" spans="8:8" ht="15" customHeight="1">
      <c r="H692" s="71" t="s">
        <v>781</v>
      </c>
    </row>
    <row r="693" spans="8:8" ht="15" customHeight="1">
      <c r="H693" s="71" t="s">
        <v>782</v>
      </c>
    </row>
    <row r="694" spans="8:8" ht="15" customHeight="1">
      <c r="H694" s="71" t="s">
        <v>783</v>
      </c>
    </row>
    <row r="695" spans="8:8" ht="15" customHeight="1">
      <c r="H695" s="71" t="s">
        <v>784</v>
      </c>
    </row>
    <row r="696" spans="8:8" ht="15" customHeight="1">
      <c r="H696" s="71" t="s">
        <v>785</v>
      </c>
    </row>
    <row r="697" spans="8:8" ht="15" customHeight="1">
      <c r="H697" s="71" t="s">
        <v>786</v>
      </c>
    </row>
    <row r="698" spans="8:8" ht="15" customHeight="1">
      <c r="H698" s="71" t="s">
        <v>787</v>
      </c>
    </row>
    <row r="699" spans="8:8" ht="15" customHeight="1">
      <c r="H699" s="71" t="s">
        <v>788</v>
      </c>
    </row>
    <row r="700" spans="8:8" ht="15" customHeight="1">
      <c r="H700" s="71" t="s">
        <v>789</v>
      </c>
    </row>
    <row r="701" spans="8:8" ht="15" customHeight="1">
      <c r="H701" s="71" t="s">
        <v>790</v>
      </c>
    </row>
    <row r="702" spans="8:8" ht="15" customHeight="1">
      <c r="H702" s="71" t="s">
        <v>791</v>
      </c>
    </row>
    <row r="703" spans="8:8" ht="15" customHeight="1">
      <c r="H703" s="71" t="s">
        <v>792</v>
      </c>
    </row>
    <row r="704" spans="8:8" ht="15" customHeight="1">
      <c r="H704" s="71" t="s">
        <v>793</v>
      </c>
    </row>
    <row r="705" spans="8:8" ht="15" customHeight="1">
      <c r="H705" s="71" t="s">
        <v>794</v>
      </c>
    </row>
    <row r="706" spans="8:8" ht="15" customHeight="1">
      <c r="H706" s="71" t="s">
        <v>795</v>
      </c>
    </row>
    <row r="707" spans="8:8" ht="15" customHeight="1">
      <c r="H707" s="71" t="s">
        <v>796</v>
      </c>
    </row>
    <row r="708" spans="8:8" ht="15" customHeight="1">
      <c r="H708" s="71" t="s">
        <v>797</v>
      </c>
    </row>
    <row r="709" spans="8:8" ht="15" customHeight="1">
      <c r="H709" s="71" t="s">
        <v>798</v>
      </c>
    </row>
    <row r="710" spans="8:8" ht="15" customHeight="1">
      <c r="H710" s="71" t="s">
        <v>799</v>
      </c>
    </row>
    <row r="711" spans="8:8" ht="15" customHeight="1">
      <c r="H711" s="71" t="s">
        <v>800</v>
      </c>
    </row>
    <row r="712" spans="8:8" ht="15" customHeight="1">
      <c r="H712" s="71" t="s">
        <v>801</v>
      </c>
    </row>
    <row r="713" spans="8:8" ht="15" customHeight="1">
      <c r="H713" s="71" t="s">
        <v>802</v>
      </c>
    </row>
    <row r="714" spans="8:8" ht="15" customHeight="1">
      <c r="H714" s="71" t="s">
        <v>803</v>
      </c>
    </row>
    <row r="715" spans="8:8" ht="15" customHeight="1">
      <c r="H715" s="71" t="s">
        <v>804</v>
      </c>
    </row>
    <row r="716" spans="8:8" ht="15" customHeight="1">
      <c r="H716" s="71" t="s">
        <v>805</v>
      </c>
    </row>
    <row r="717" spans="8:8" ht="15" customHeight="1">
      <c r="H717" s="71" t="s">
        <v>806</v>
      </c>
    </row>
    <row r="718" spans="8:8" ht="15" customHeight="1">
      <c r="H718" s="71" t="s">
        <v>807</v>
      </c>
    </row>
    <row r="719" spans="8:8" ht="15" customHeight="1">
      <c r="H719" s="71" t="s">
        <v>808</v>
      </c>
    </row>
    <row r="720" spans="8:8" ht="15" customHeight="1">
      <c r="H720" s="71" t="s">
        <v>809</v>
      </c>
    </row>
    <row r="721" spans="8:8" ht="15" customHeight="1">
      <c r="H721" s="71" t="s">
        <v>810</v>
      </c>
    </row>
    <row r="722" spans="8:8" ht="15" customHeight="1">
      <c r="H722" s="71" t="s">
        <v>811</v>
      </c>
    </row>
    <row r="723" spans="8:8" ht="15" customHeight="1">
      <c r="H723" s="71" t="s">
        <v>812</v>
      </c>
    </row>
    <row r="724" spans="8:8" ht="15" customHeight="1">
      <c r="H724" s="71" t="s">
        <v>813</v>
      </c>
    </row>
    <row r="725" spans="8:8" ht="15" customHeight="1">
      <c r="H725" s="71" t="s">
        <v>814</v>
      </c>
    </row>
    <row r="726" spans="8:8" ht="15" customHeight="1">
      <c r="H726" s="71" t="s">
        <v>815</v>
      </c>
    </row>
    <row r="727" spans="8:8" ht="15" customHeight="1">
      <c r="H727" s="71" t="s">
        <v>816</v>
      </c>
    </row>
    <row r="728" spans="8:8" ht="15" customHeight="1">
      <c r="H728" s="71" t="s">
        <v>817</v>
      </c>
    </row>
    <row r="729" spans="8:8" ht="15" customHeight="1">
      <c r="H729" s="71" t="s">
        <v>818</v>
      </c>
    </row>
    <row r="730" spans="8:8" ht="15" customHeight="1">
      <c r="H730" s="71" t="s">
        <v>819</v>
      </c>
    </row>
    <row r="731" spans="8:8" ht="15" customHeight="1">
      <c r="H731" s="71" t="s">
        <v>819</v>
      </c>
    </row>
    <row r="732" spans="8:8" ht="15" customHeight="1">
      <c r="H732" s="71" t="s">
        <v>820</v>
      </c>
    </row>
    <row r="733" spans="8:8" ht="15" customHeight="1">
      <c r="H733" s="71" t="s">
        <v>821</v>
      </c>
    </row>
    <row r="734" spans="8:8" ht="15" customHeight="1">
      <c r="H734" s="71" t="s">
        <v>822</v>
      </c>
    </row>
    <row r="735" spans="8:8" ht="15" customHeight="1">
      <c r="H735" s="71" t="s">
        <v>823</v>
      </c>
    </row>
    <row r="736" spans="8:8" ht="15" customHeight="1">
      <c r="H736" s="71" t="s">
        <v>824</v>
      </c>
    </row>
    <row r="737" spans="8:8" ht="15" customHeight="1">
      <c r="H737" s="71" t="s">
        <v>825</v>
      </c>
    </row>
    <row r="738" spans="8:8" ht="15" customHeight="1">
      <c r="H738" s="71" t="s">
        <v>826</v>
      </c>
    </row>
    <row r="739" spans="8:8" ht="15" customHeight="1">
      <c r="H739" s="71" t="s">
        <v>827</v>
      </c>
    </row>
    <row r="740" spans="8:8" ht="15" customHeight="1">
      <c r="H740" s="73"/>
    </row>
    <row r="741" spans="8:8" ht="15" customHeight="1">
      <c r="H741" s="71" t="s">
        <v>828</v>
      </c>
    </row>
    <row r="742" spans="8:8" ht="15" customHeight="1">
      <c r="H742" s="73"/>
    </row>
    <row r="743" spans="8:8" ht="15" customHeight="1">
      <c r="H743" s="71" t="s">
        <v>829</v>
      </c>
    </row>
    <row r="744" spans="8:8" ht="15" customHeight="1">
      <c r="H744" s="71" t="s">
        <v>830</v>
      </c>
    </row>
    <row r="745" spans="8:8" ht="15" customHeight="1">
      <c r="H745" s="46"/>
    </row>
    <row r="746" spans="8:8" ht="15" customHeight="1">
      <c r="H746" s="71" t="s">
        <v>831</v>
      </c>
    </row>
    <row r="747" spans="8:8" ht="15" customHeight="1">
      <c r="H747" s="71" t="s">
        <v>832</v>
      </c>
    </row>
    <row r="748" spans="8:8" ht="15" customHeight="1">
      <c r="H748" s="71" t="s">
        <v>833</v>
      </c>
    </row>
    <row r="749" spans="8:8" ht="15" customHeight="1">
      <c r="H749" s="71" t="s">
        <v>834</v>
      </c>
    </row>
    <row r="750" spans="8:8" ht="15" customHeight="1">
      <c r="H750" s="71" t="s">
        <v>835</v>
      </c>
    </row>
    <row r="751" spans="8:8" ht="15" customHeight="1">
      <c r="H751" s="72" t="s">
        <v>836</v>
      </c>
    </row>
    <row r="752" spans="8:8" ht="15" customHeight="1">
      <c r="H752" s="72" t="s">
        <v>837</v>
      </c>
    </row>
    <row r="753" spans="8:8" ht="15" customHeight="1">
      <c r="H753" s="71" t="s">
        <v>838</v>
      </c>
    </row>
    <row r="754" spans="8:8" ht="15" customHeight="1">
      <c r="H754" s="71" t="s">
        <v>839</v>
      </c>
    </row>
    <row r="755" spans="8:8" ht="15" customHeight="1">
      <c r="H755" s="72" t="s">
        <v>840</v>
      </c>
    </row>
    <row r="756" spans="8:8" ht="15" customHeight="1">
      <c r="H756" s="71" t="s">
        <v>841</v>
      </c>
    </row>
    <row r="757" spans="8:8" ht="15" customHeight="1">
      <c r="H757" s="71" t="s">
        <v>842</v>
      </c>
    </row>
    <row r="758" spans="8:8" ht="15" customHeight="1">
      <c r="H758" s="71" t="s">
        <v>843</v>
      </c>
    </row>
    <row r="759" spans="8:8" ht="15" customHeight="1">
      <c r="H759" s="72" t="s">
        <v>844</v>
      </c>
    </row>
    <row r="760" spans="8:8" ht="15" customHeight="1">
      <c r="H760" s="72" t="s">
        <v>845</v>
      </c>
    </row>
    <row r="761" spans="8:8" ht="15" customHeight="1">
      <c r="H761" s="71" t="s">
        <v>846</v>
      </c>
    </row>
    <row r="762" spans="8:8" ht="15" customHeight="1">
      <c r="H762" s="71" t="s">
        <v>847</v>
      </c>
    </row>
    <row r="763" spans="8:8" ht="15" customHeight="1">
      <c r="H763" s="71" t="s">
        <v>848</v>
      </c>
    </row>
    <row r="764" spans="8:8" ht="15" customHeight="1">
      <c r="H764" s="71" t="s">
        <v>849</v>
      </c>
    </row>
    <row r="765" spans="8:8" ht="15" customHeight="1">
      <c r="H765" s="71" t="s">
        <v>850</v>
      </c>
    </row>
    <row r="766" spans="8:8" ht="15" customHeight="1">
      <c r="H766" s="73"/>
    </row>
    <row r="767" spans="8:8" ht="15" customHeight="1">
      <c r="H767" s="71" t="s">
        <v>851</v>
      </c>
    </row>
    <row r="768" spans="8:8" ht="15" customHeight="1">
      <c r="H768" s="71" t="s">
        <v>852</v>
      </c>
    </row>
    <row r="769" spans="8:8" ht="15" customHeight="1">
      <c r="H769" s="71" t="s">
        <v>853</v>
      </c>
    </row>
    <row r="770" spans="8:8" ht="15" customHeight="1">
      <c r="H770" s="71" t="s">
        <v>854</v>
      </c>
    </row>
    <row r="771" spans="8:8" ht="15" customHeight="1">
      <c r="H771" s="71" t="s">
        <v>855</v>
      </c>
    </row>
    <row r="772" spans="8:8" ht="15" customHeight="1">
      <c r="H772" s="71" t="s">
        <v>856</v>
      </c>
    </row>
    <row r="773" spans="8:8" ht="15" customHeight="1">
      <c r="H773" s="71" t="s">
        <v>857</v>
      </c>
    </row>
    <row r="774" spans="8:8" ht="15" customHeight="1">
      <c r="H774" s="71" t="s">
        <v>858</v>
      </c>
    </row>
    <row r="775" spans="8:8" ht="15" customHeight="1">
      <c r="H775" s="71" t="s">
        <v>859</v>
      </c>
    </row>
    <row r="776" spans="8:8" ht="15" customHeight="1">
      <c r="H776" s="71" t="s">
        <v>860</v>
      </c>
    </row>
    <row r="777" spans="8:8" ht="15" customHeight="1">
      <c r="H777" s="71" t="s">
        <v>861</v>
      </c>
    </row>
    <row r="778" spans="8:8" ht="15" customHeight="1">
      <c r="H778" s="71" t="s">
        <v>862</v>
      </c>
    </row>
    <row r="779" spans="8:8" ht="15" customHeight="1">
      <c r="H779" s="71" t="s">
        <v>863</v>
      </c>
    </row>
    <row r="780" spans="8:8" ht="15" customHeight="1">
      <c r="H780" s="71" t="s">
        <v>864</v>
      </c>
    </row>
    <row r="781" spans="8:8" ht="15" customHeight="1">
      <c r="H781" s="71" t="s">
        <v>865</v>
      </c>
    </row>
    <row r="782" spans="8:8" ht="15" customHeight="1">
      <c r="H782" s="71" t="s">
        <v>866</v>
      </c>
    </row>
    <row r="783" spans="8:8" ht="15" customHeight="1">
      <c r="H783" s="71" t="s">
        <v>867</v>
      </c>
    </row>
    <row r="784" spans="8:8" ht="15" customHeight="1">
      <c r="H784" s="71" t="s">
        <v>868</v>
      </c>
    </row>
    <row r="785" spans="8:8" ht="15" customHeight="1">
      <c r="H785" s="72" t="s">
        <v>869</v>
      </c>
    </row>
    <row r="786" spans="8:8" ht="15" customHeight="1">
      <c r="H786" s="71" t="s">
        <v>870</v>
      </c>
    </row>
    <row r="787" spans="8:8" ht="15" customHeight="1">
      <c r="H787" s="73"/>
    </row>
    <row r="788" spans="8:8" ht="15" customHeight="1">
      <c r="H788" s="72" t="s">
        <v>871</v>
      </c>
    </row>
    <row r="789" spans="8:8" ht="15" customHeight="1">
      <c r="H789" s="71" t="s">
        <v>872</v>
      </c>
    </row>
    <row r="790" spans="8:8" ht="15" customHeight="1">
      <c r="H790" s="71" t="s">
        <v>873</v>
      </c>
    </row>
    <row r="791" spans="8:8" ht="15" customHeight="1">
      <c r="H791" s="71" t="s">
        <v>874</v>
      </c>
    </row>
    <row r="792" spans="8:8" ht="15" customHeight="1">
      <c r="H792" s="71" t="s">
        <v>875</v>
      </c>
    </row>
    <row r="793" spans="8:8" ht="15" customHeight="1">
      <c r="H793" s="71" t="s">
        <v>876</v>
      </c>
    </row>
    <row r="794" spans="8:8" ht="15" customHeight="1">
      <c r="H794" s="76"/>
    </row>
    <row r="795" spans="8:8" ht="15" customHeight="1">
      <c r="H795" s="71" t="s">
        <v>877</v>
      </c>
    </row>
    <row r="796" spans="8:8" ht="15" customHeight="1">
      <c r="H796" s="71" t="s">
        <v>878</v>
      </c>
    </row>
    <row r="797" spans="8:8" ht="15" customHeight="1">
      <c r="H797" s="71" t="s">
        <v>879</v>
      </c>
    </row>
    <row r="798" spans="8:8" ht="15" customHeight="1">
      <c r="H798" s="71" t="s">
        <v>880</v>
      </c>
    </row>
    <row r="799" spans="8:8" ht="15" customHeight="1">
      <c r="H799" s="71" t="s">
        <v>881</v>
      </c>
    </row>
    <row r="800" spans="8:8" ht="15" customHeight="1">
      <c r="H800" s="71" t="s">
        <v>882</v>
      </c>
    </row>
    <row r="801" spans="8:8" ht="15" customHeight="1">
      <c r="H801" s="71" t="s">
        <v>883</v>
      </c>
    </row>
    <row r="802" spans="8:8" ht="15" customHeight="1">
      <c r="H802" s="73"/>
    </row>
    <row r="803" spans="8:8" ht="15" customHeight="1">
      <c r="H803" s="71" t="s">
        <v>884</v>
      </c>
    </row>
    <row r="804" spans="8:8" ht="15" customHeight="1">
      <c r="H804" s="71" t="s">
        <v>885</v>
      </c>
    </row>
    <row r="805" spans="8:8" ht="15" customHeight="1">
      <c r="H805" s="73"/>
    </row>
    <row r="806" spans="8:8" ht="15" customHeight="1">
      <c r="H806" s="77" t="s">
        <v>886</v>
      </c>
    </row>
    <row r="807" spans="8:8" ht="15" customHeight="1">
      <c r="H807" s="77" t="s">
        <v>887</v>
      </c>
    </row>
    <row r="808" spans="8:8" ht="15" customHeight="1">
      <c r="H808" s="77" t="s">
        <v>888</v>
      </c>
    </row>
    <row r="809" spans="8:8" ht="15" customHeight="1">
      <c r="H809" s="71" t="s">
        <v>889</v>
      </c>
    </row>
    <row r="810" spans="8:8" ht="15" customHeight="1">
      <c r="H810" s="71" t="s">
        <v>890</v>
      </c>
    </row>
    <row r="811" spans="8:8" ht="15" customHeight="1">
      <c r="H811" s="71" t="s">
        <v>891</v>
      </c>
    </row>
    <row r="812" spans="8:8" ht="15" customHeight="1">
      <c r="H812" s="71" t="s">
        <v>892</v>
      </c>
    </row>
    <row r="813" spans="8:8" ht="15" customHeight="1">
      <c r="H813" s="72" t="s">
        <v>893</v>
      </c>
    </row>
    <row r="814" spans="8:8" ht="15" customHeight="1">
      <c r="H814" s="71" t="s">
        <v>894</v>
      </c>
    </row>
    <row r="815" spans="8:8" ht="15" customHeight="1">
      <c r="H815" s="71" t="s">
        <v>895</v>
      </c>
    </row>
    <row r="816" spans="8:8" ht="15" customHeight="1">
      <c r="H816" s="71" t="s">
        <v>896</v>
      </c>
    </row>
    <row r="817" spans="8:8" ht="15" customHeight="1">
      <c r="H817" s="71" t="s">
        <v>897</v>
      </c>
    </row>
    <row r="818" spans="8:8" ht="15" customHeight="1">
      <c r="H818" s="71" t="s">
        <v>898</v>
      </c>
    </row>
    <row r="819" spans="8:8" ht="15" customHeight="1">
      <c r="H819" s="71" t="s">
        <v>899</v>
      </c>
    </row>
    <row r="820" spans="8:8" ht="15" customHeight="1">
      <c r="H820" s="71" t="s">
        <v>900</v>
      </c>
    </row>
    <row r="821" spans="8:8" ht="15" customHeight="1">
      <c r="H821" s="71" t="s">
        <v>901</v>
      </c>
    </row>
    <row r="822" spans="8:8" ht="15" customHeight="1">
      <c r="H822" s="71" t="s">
        <v>902</v>
      </c>
    </row>
    <row r="823" spans="8:8" ht="15" customHeight="1">
      <c r="H823" s="71" t="s">
        <v>903</v>
      </c>
    </row>
    <row r="824" spans="8:8" ht="15" customHeight="1">
      <c r="H824" s="71" t="s">
        <v>904</v>
      </c>
    </row>
    <row r="825" spans="8:8" ht="15" customHeight="1">
      <c r="H825" s="71" t="s">
        <v>905</v>
      </c>
    </row>
    <row r="826" spans="8:8" ht="15" customHeight="1">
      <c r="H826" s="71" t="s">
        <v>906</v>
      </c>
    </row>
    <row r="827" spans="8:8" ht="15" customHeight="1">
      <c r="H827" s="71" t="s">
        <v>907</v>
      </c>
    </row>
    <row r="828" spans="8:8" ht="15" customHeight="1">
      <c r="H828" s="71" t="s">
        <v>908</v>
      </c>
    </row>
    <row r="829" spans="8:8" ht="15" customHeight="1">
      <c r="H829" s="71" t="s">
        <v>909</v>
      </c>
    </row>
    <row r="830" spans="8:8" ht="15" customHeight="1">
      <c r="H830" s="71" t="s">
        <v>910</v>
      </c>
    </row>
    <row r="831" spans="8:8" ht="15" customHeight="1">
      <c r="H831" s="71" t="s">
        <v>911</v>
      </c>
    </row>
    <row r="832" spans="8:8" ht="15" customHeight="1">
      <c r="H832" s="71" t="s">
        <v>912</v>
      </c>
    </row>
    <row r="833" spans="8:8" ht="15" customHeight="1">
      <c r="H833" s="71" t="s">
        <v>913</v>
      </c>
    </row>
    <row r="834" spans="8:8" ht="15" customHeight="1">
      <c r="H834" s="71" t="s">
        <v>914</v>
      </c>
    </row>
    <row r="835" spans="8:8" ht="15" customHeight="1">
      <c r="H835" s="71" t="s">
        <v>915</v>
      </c>
    </row>
    <row r="836" spans="8:8" ht="15" customHeight="1">
      <c r="H836" s="71" t="s">
        <v>916</v>
      </c>
    </row>
    <row r="837" spans="8:8" ht="15" customHeight="1">
      <c r="H837" s="71" t="s">
        <v>917</v>
      </c>
    </row>
    <row r="838" spans="8:8" ht="15" customHeight="1">
      <c r="H838" s="71" t="s">
        <v>918</v>
      </c>
    </row>
    <row r="839" spans="8:8" ht="15" customHeight="1">
      <c r="H839" s="71" t="s">
        <v>919</v>
      </c>
    </row>
    <row r="840" spans="8:8" ht="15" customHeight="1">
      <c r="H840" s="71" t="s">
        <v>920</v>
      </c>
    </row>
    <row r="841" spans="8:8" ht="15" customHeight="1">
      <c r="H841" s="71" t="s">
        <v>921</v>
      </c>
    </row>
    <row r="842" spans="8:8" ht="15" customHeight="1">
      <c r="H842" s="72" t="s">
        <v>922</v>
      </c>
    </row>
    <row r="843" spans="8:8" ht="15" customHeight="1">
      <c r="H843" s="72" t="s">
        <v>923</v>
      </c>
    </row>
    <row r="844" spans="8:8" ht="15" customHeight="1">
      <c r="H844" s="71" t="s">
        <v>924</v>
      </c>
    </row>
    <row r="845" spans="8:8" ht="15" customHeight="1">
      <c r="H845" s="71" t="s">
        <v>925</v>
      </c>
    </row>
    <row r="846" spans="8:8" ht="15" customHeight="1">
      <c r="H846" s="71" t="s">
        <v>926</v>
      </c>
    </row>
    <row r="847" spans="8:8" ht="15" customHeight="1">
      <c r="H847" s="71" t="s">
        <v>927</v>
      </c>
    </row>
    <row r="848" spans="8:8" ht="15" customHeight="1">
      <c r="H848" s="73"/>
    </row>
    <row r="849" spans="8:8" ht="15" customHeight="1">
      <c r="H849" s="71" t="s">
        <v>928</v>
      </c>
    </row>
    <row r="850" spans="8:8" ht="15" customHeight="1">
      <c r="H850" s="71" t="s">
        <v>929</v>
      </c>
    </row>
    <row r="851" spans="8:8" ht="15" customHeight="1">
      <c r="H851" s="71" t="s">
        <v>930</v>
      </c>
    </row>
    <row r="852" spans="8:8" ht="15" customHeight="1">
      <c r="H852" s="71" t="s">
        <v>931</v>
      </c>
    </row>
    <row r="853" spans="8:8" ht="15" customHeight="1">
      <c r="H853" s="71" t="s">
        <v>932</v>
      </c>
    </row>
    <row r="854" spans="8:8" ht="15" customHeight="1">
      <c r="H854" s="71" t="s">
        <v>933</v>
      </c>
    </row>
    <row r="855" spans="8:8" ht="15" customHeight="1">
      <c r="H855" s="71" t="s">
        <v>934</v>
      </c>
    </row>
    <row r="856" spans="8:8" ht="15" customHeight="1">
      <c r="H856" s="71" t="s">
        <v>935</v>
      </c>
    </row>
    <row r="857" spans="8:8" ht="15" customHeight="1">
      <c r="H857" s="71" t="s">
        <v>936</v>
      </c>
    </row>
    <row r="858" spans="8:8" ht="15" customHeight="1">
      <c r="H858" s="71" t="s">
        <v>937</v>
      </c>
    </row>
    <row r="859" spans="8:8" ht="15" customHeight="1">
      <c r="H859" s="71" t="s">
        <v>938</v>
      </c>
    </row>
    <row r="860" spans="8:8" ht="15" customHeight="1">
      <c r="H860" s="71" t="s">
        <v>939</v>
      </c>
    </row>
    <row r="861" spans="8:8" ht="15" customHeight="1">
      <c r="H861" s="71" t="s">
        <v>940</v>
      </c>
    </row>
    <row r="862" spans="8:8" ht="15" customHeight="1">
      <c r="H862" s="71" t="s">
        <v>942</v>
      </c>
    </row>
    <row r="863" spans="8:8" ht="15" customHeight="1">
      <c r="H863" s="71" t="s">
        <v>943</v>
      </c>
    </row>
    <row r="864" spans="8:8" ht="15" customHeight="1">
      <c r="H864" s="71" t="s">
        <v>944</v>
      </c>
    </row>
    <row r="865" spans="8:8" ht="15" customHeight="1">
      <c r="H865" s="71" t="s">
        <v>945</v>
      </c>
    </row>
    <row r="866" spans="8:8" ht="15" customHeight="1">
      <c r="H866" s="71" t="s">
        <v>946</v>
      </c>
    </row>
    <row r="867" spans="8:8" ht="15" customHeight="1">
      <c r="H867" s="71" t="s">
        <v>947</v>
      </c>
    </row>
    <row r="868" spans="8:8" ht="15" customHeight="1">
      <c r="H868" s="71" t="s">
        <v>948</v>
      </c>
    </row>
    <row r="869" spans="8:8" ht="15" customHeight="1">
      <c r="H869" s="77" t="s">
        <v>949</v>
      </c>
    </row>
    <row r="870" spans="8:8" ht="15" customHeight="1">
      <c r="H870" s="71" t="s">
        <v>949</v>
      </c>
    </row>
    <row r="871" spans="8:8" ht="15" customHeight="1">
      <c r="H871" s="72" t="s">
        <v>950</v>
      </c>
    </row>
    <row r="872" spans="8:8" ht="15" customHeight="1">
      <c r="H872" s="71" t="s">
        <v>951</v>
      </c>
    </row>
    <row r="873" spans="8:8" ht="15" customHeight="1">
      <c r="H873" s="71" t="s">
        <v>952</v>
      </c>
    </row>
    <row r="874" spans="8:8" ht="15" customHeight="1">
      <c r="H874" s="71" t="s">
        <v>953</v>
      </c>
    </row>
    <row r="875" spans="8:8" ht="15" customHeight="1">
      <c r="H875" s="71" t="s">
        <v>954</v>
      </c>
    </row>
    <row r="876" spans="8:8" ht="15" customHeight="1">
      <c r="H876" s="71" t="s">
        <v>955</v>
      </c>
    </row>
    <row r="877" spans="8:8" ht="15" customHeight="1">
      <c r="H877" s="71" t="s">
        <v>956</v>
      </c>
    </row>
    <row r="878" spans="8:8" ht="15" customHeight="1">
      <c r="H878" s="71" t="s">
        <v>957</v>
      </c>
    </row>
    <row r="879" spans="8:8" ht="15" customHeight="1">
      <c r="H879" s="71" t="s">
        <v>958</v>
      </c>
    </row>
    <row r="880" spans="8:8" ht="15" customHeight="1">
      <c r="H880" s="72" t="s">
        <v>959</v>
      </c>
    </row>
    <row r="881" spans="8:8" ht="15" customHeight="1">
      <c r="H881" s="71" t="s">
        <v>960</v>
      </c>
    </row>
    <row r="882" spans="8:8" ht="15" customHeight="1">
      <c r="H882" s="72" t="s">
        <v>961</v>
      </c>
    </row>
    <row r="883" spans="8:8" ht="15" customHeight="1">
      <c r="H883" s="71" t="s">
        <v>962</v>
      </c>
    </row>
    <row r="884" spans="8:8" ht="15" customHeight="1">
      <c r="H884" s="71" t="s">
        <v>963</v>
      </c>
    </row>
    <row r="885" spans="8:8" ht="15" customHeight="1">
      <c r="H885" s="71" t="s">
        <v>964</v>
      </c>
    </row>
    <row r="886" spans="8:8" ht="15" customHeight="1">
      <c r="H886" s="71" t="s">
        <v>965</v>
      </c>
    </row>
    <row r="887" spans="8:8" ht="15" customHeight="1">
      <c r="H887" s="71" t="s">
        <v>966</v>
      </c>
    </row>
    <row r="888" spans="8:8" ht="15" customHeight="1">
      <c r="H888" s="71" t="s">
        <v>967</v>
      </c>
    </row>
    <row r="889" spans="8:8" ht="15" customHeight="1">
      <c r="H889" s="71" t="s">
        <v>968</v>
      </c>
    </row>
    <row r="890" spans="8:8" ht="15" customHeight="1">
      <c r="H890" s="71" t="s">
        <v>969</v>
      </c>
    </row>
    <row r="891" spans="8:8" ht="15" customHeight="1">
      <c r="H891" s="71" t="s">
        <v>970</v>
      </c>
    </row>
    <row r="892" spans="8:8" ht="15" customHeight="1">
      <c r="H892" s="71" t="s">
        <v>971</v>
      </c>
    </row>
    <row r="893" spans="8:8" ht="15" customHeight="1">
      <c r="H893" s="71" t="s">
        <v>972</v>
      </c>
    </row>
    <row r="894" spans="8:8" ht="15" customHeight="1">
      <c r="H894" s="71" t="s">
        <v>973</v>
      </c>
    </row>
    <row r="895" spans="8:8" ht="15" customHeight="1">
      <c r="H895" s="71" t="s">
        <v>974</v>
      </c>
    </row>
    <row r="896" spans="8:8" ht="15" customHeight="1">
      <c r="H896" s="71" t="s">
        <v>975</v>
      </c>
    </row>
    <row r="897" spans="8:8" ht="15" customHeight="1">
      <c r="H897" s="71" t="s">
        <v>976</v>
      </c>
    </row>
    <row r="898" spans="8:8" ht="15" customHeight="1">
      <c r="H898" s="71" t="s">
        <v>977</v>
      </c>
    </row>
    <row r="899" spans="8:8" ht="15" customHeight="1">
      <c r="H899" s="71" t="s">
        <v>978</v>
      </c>
    </row>
    <row r="900" spans="8:8" ht="15" customHeight="1">
      <c r="H900" s="71" t="s">
        <v>979</v>
      </c>
    </row>
    <row r="901" spans="8:8" ht="15" customHeight="1">
      <c r="H901" s="71" t="s">
        <v>980</v>
      </c>
    </row>
    <row r="902" spans="8:8" ht="15" customHeight="1">
      <c r="H902" s="71" t="s">
        <v>981</v>
      </c>
    </row>
    <row r="903" spans="8:8" ht="15" customHeight="1">
      <c r="H903" s="71" t="s">
        <v>982</v>
      </c>
    </row>
    <row r="904" spans="8:8" ht="15" customHeight="1">
      <c r="H904" s="71" t="s">
        <v>983</v>
      </c>
    </row>
    <row r="905" spans="8:8" ht="15" customHeight="1">
      <c r="H905" s="77" t="s">
        <v>984</v>
      </c>
    </row>
    <row r="906" spans="8:8" ht="15" customHeight="1">
      <c r="H906" s="71" t="s">
        <v>984</v>
      </c>
    </row>
  </sheetData>
  <sortState xmlns:xlrd2="http://schemas.microsoft.com/office/spreadsheetml/2017/richdata2" ref="C2:C59">
    <sortCondition ref="C5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
  <sheetViews>
    <sheetView workbookViewId="0">
      <selection activeCell="F6" sqref="F6"/>
    </sheetView>
  </sheetViews>
  <sheetFormatPr defaultRowHeight="15"/>
  <cols>
    <col min="2" max="4" width="9.140625" style="83"/>
  </cols>
  <sheetData>
    <row r="1" spans="1:4">
      <c r="B1" s="83" t="s">
        <v>985</v>
      </c>
      <c r="C1" s="83" t="s">
        <v>2</v>
      </c>
      <c r="D1" s="83" t="s">
        <v>1290</v>
      </c>
    </row>
    <row r="2" spans="1:4">
      <c r="A2" t="s">
        <v>11</v>
      </c>
      <c r="B2" s="83">
        <v>141</v>
      </c>
      <c r="C2" s="83">
        <v>51</v>
      </c>
      <c r="D2" s="83">
        <v>64</v>
      </c>
    </row>
    <row r="3" spans="1:4">
      <c r="A3" t="s">
        <v>12</v>
      </c>
      <c r="B3" s="83">
        <v>312</v>
      </c>
      <c r="C3" s="83">
        <v>122</v>
      </c>
      <c r="D3" s="83">
        <v>332</v>
      </c>
    </row>
    <row r="4" spans="1:4">
      <c r="A4" t="s">
        <v>13</v>
      </c>
      <c r="B4" s="83">
        <v>400</v>
      </c>
      <c r="C4" s="83">
        <v>110</v>
      </c>
      <c r="D4" s="83">
        <v>419</v>
      </c>
    </row>
    <row r="5" spans="1:4">
      <c r="A5" t="s">
        <v>14</v>
      </c>
      <c r="B5" s="83">
        <v>446</v>
      </c>
      <c r="C5" s="83">
        <v>56</v>
      </c>
      <c r="D5" s="83">
        <v>34</v>
      </c>
    </row>
    <row r="6" spans="1:4">
      <c r="A6" t="s">
        <v>15</v>
      </c>
      <c r="B6" s="83">
        <v>513</v>
      </c>
      <c r="C6" s="83">
        <v>23</v>
      </c>
      <c r="D6" s="83">
        <v>52</v>
      </c>
    </row>
    <row r="7" spans="1:4">
      <c r="A7" t="s">
        <v>16</v>
      </c>
      <c r="B7" s="83">
        <v>642</v>
      </c>
      <c r="C7" s="83">
        <v>52</v>
      </c>
      <c r="D7" s="83">
        <v>142</v>
      </c>
    </row>
    <row r="8" spans="1:4">
      <c r="A8" t="s">
        <v>9</v>
      </c>
      <c r="B8" s="83">
        <v>751</v>
      </c>
      <c r="C8" s="83">
        <v>61</v>
      </c>
      <c r="D8" s="83">
        <v>310</v>
      </c>
    </row>
    <row r="9" spans="1:4">
      <c r="A9" t="s">
        <v>30</v>
      </c>
      <c r="B9" s="83">
        <v>818</v>
      </c>
      <c r="C9" s="83">
        <v>28</v>
      </c>
      <c r="D9" s="83">
        <v>42</v>
      </c>
    </row>
    <row r="10" spans="1:4">
      <c r="A10" t="s">
        <v>40</v>
      </c>
      <c r="B10" s="83">
        <v>900</v>
      </c>
      <c r="C10" s="83">
        <v>10</v>
      </c>
      <c r="D10" s="8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51"/>
  <sheetViews>
    <sheetView workbookViewId="0">
      <pane xSplit="1" ySplit="1" topLeftCell="B2" activePane="bottomRight" state="frozen"/>
      <selection pane="topRight" activeCell="B1" sqref="B1"/>
      <selection pane="bottomLeft" activeCell="A2" sqref="A2"/>
      <selection pane="bottomRight" activeCell="B10" sqref="B10"/>
    </sheetView>
  </sheetViews>
  <sheetFormatPr defaultColWidth="0" defaultRowHeight="15"/>
  <cols>
    <col min="1" max="1" width="9.140625" style="157" customWidth="1"/>
    <col min="2" max="2" width="95.42578125" style="155" customWidth="1"/>
    <col min="3" max="3" width="33.7109375" style="83" customWidth="1"/>
    <col min="4" max="16384" width="9.140625" hidden="1"/>
  </cols>
  <sheetData>
    <row r="1" spans="1:3" s="156" customFormat="1" ht="37.5" customHeight="1">
      <c r="A1" s="156" t="s">
        <v>1279</v>
      </c>
      <c r="B1" s="156" t="s">
        <v>1281</v>
      </c>
      <c r="C1" s="156" t="s">
        <v>1280</v>
      </c>
    </row>
    <row r="2" spans="1:3">
      <c r="A2" s="157">
        <v>1</v>
      </c>
      <c r="B2" s="155" t="s">
        <v>1285</v>
      </c>
      <c r="C2" s="83" t="s">
        <v>1282</v>
      </c>
    </row>
    <row r="3" spans="1:3">
      <c r="A3" s="157">
        <f>IF(B3="","",A2+1)</f>
        <v>2</v>
      </c>
      <c r="B3" s="155" t="s">
        <v>1283</v>
      </c>
      <c r="C3" s="83" t="s">
        <v>1282</v>
      </c>
    </row>
    <row r="4" spans="1:3">
      <c r="A4" s="157">
        <f t="shared" ref="A4:A67" si="0">IF(B4="","",A3+1)</f>
        <v>3</v>
      </c>
      <c r="B4" s="155" t="s">
        <v>1284</v>
      </c>
      <c r="C4" s="83" t="s">
        <v>1282</v>
      </c>
    </row>
    <row r="5" spans="1:3">
      <c r="A5" s="157">
        <f t="shared" si="0"/>
        <v>4</v>
      </c>
      <c r="B5" s="155" t="s">
        <v>1286</v>
      </c>
      <c r="C5" s="83" t="s">
        <v>1282</v>
      </c>
    </row>
    <row r="6" spans="1:3">
      <c r="A6" s="157">
        <f t="shared" si="0"/>
        <v>5</v>
      </c>
      <c r="B6" s="155" t="s">
        <v>1287</v>
      </c>
      <c r="C6" s="83" t="s">
        <v>1282</v>
      </c>
    </row>
    <row r="7" spans="1:3">
      <c r="A7" s="157">
        <f t="shared" si="0"/>
        <v>6</v>
      </c>
      <c r="B7" s="155" t="s">
        <v>1288</v>
      </c>
      <c r="C7" s="83" t="s">
        <v>1282</v>
      </c>
    </row>
    <row r="8" spans="1:3">
      <c r="A8" s="157">
        <f t="shared" si="0"/>
        <v>7</v>
      </c>
      <c r="B8" s="170" t="s">
        <v>1289</v>
      </c>
      <c r="C8" s="83" t="s">
        <v>1282</v>
      </c>
    </row>
    <row r="9" spans="1:3">
      <c r="A9" s="157">
        <f t="shared" si="0"/>
        <v>8</v>
      </c>
      <c r="B9" s="155" t="s">
        <v>1291</v>
      </c>
    </row>
    <row r="10" spans="1:3">
      <c r="A10" s="157" t="str">
        <f t="shared" si="0"/>
        <v/>
      </c>
    </row>
    <row r="11" spans="1:3">
      <c r="A11" s="157" t="str">
        <f t="shared" si="0"/>
        <v/>
      </c>
    </row>
    <row r="12" spans="1:3">
      <c r="A12" s="157" t="str">
        <f t="shared" si="0"/>
        <v/>
      </c>
    </row>
    <row r="13" spans="1:3">
      <c r="A13" s="157" t="str">
        <f t="shared" si="0"/>
        <v/>
      </c>
    </row>
    <row r="14" spans="1:3">
      <c r="A14" s="157" t="str">
        <f t="shared" si="0"/>
        <v/>
      </c>
    </row>
    <row r="15" spans="1:3">
      <c r="A15" s="157" t="str">
        <f t="shared" si="0"/>
        <v/>
      </c>
    </row>
    <row r="16" spans="1:3">
      <c r="A16" s="157" t="str">
        <f t="shared" si="0"/>
        <v/>
      </c>
    </row>
    <row r="17" spans="1:1">
      <c r="A17" s="157" t="str">
        <f t="shared" si="0"/>
        <v/>
      </c>
    </row>
    <row r="18" spans="1:1">
      <c r="A18" s="157" t="str">
        <f t="shared" si="0"/>
        <v/>
      </c>
    </row>
    <row r="19" spans="1:1">
      <c r="A19" s="157" t="str">
        <f t="shared" si="0"/>
        <v/>
      </c>
    </row>
    <row r="20" spans="1:1">
      <c r="A20" s="157" t="str">
        <f t="shared" si="0"/>
        <v/>
      </c>
    </row>
    <row r="21" spans="1:1">
      <c r="A21" s="157" t="str">
        <f t="shared" si="0"/>
        <v/>
      </c>
    </row>
    <row r="22" spans="1:1">
      <c r="A22" s="157" t="str">
        <f t="shared" si="0"/>
        <v/>
      </c>
    </row>
    <row r="23" spans="1:1">
      <c r="A23" s="157" t="str">
        <f t="shared" si="0"/>
        <v/>
      </c>
    </row>
    <row r="24" spans="1:1">
      <c r="A24" s="157" t="str">
        <f t="shared" si="0"/>
        <v/>
      </c>
    </row>
    <row r="25" spans="1:1">
      <c r="A25" s="157" t="str">
        <f t="shared" si="0"/>
        <v/>
      </c>
    </row>
    <row r="26" spans="1:1">
      <c r="A26" s="157" t="str">
        <f t="shared" si="0"/>
        <v/>
      </c>
    </row>
    <row r="27" spans="1:1">
      <c r="A27" s="157" t="str">
        <f t="shared" si="0"/>
        <v/>
      </c>
    </row>
    <row r="28" spans="1:1">
      <c r="A28" s="157" t="str">
        <f t="shared" si="0"/>
        <v/>
      </c>
    </row>
    <row r="29" spans="1:1">
      <c r="A29" s="157" t="str">
        <f t="shared" si="0"/>
        <v/>
      </c>
    </row>
    <row r="30" spans="1:1">
      <c r="A30" s="157" t="str">
        <f t="shared" si="0"/>
        <v/>
      </c>
    </row>
    <row r="31" spans="1:1">
      <c r="A31" s="157" t="str">
        <f t="shared" si="0"/>
        <v/>
      </c>
    </row>
    <row r="32" spans="1:1">
      <c r="A32" s="157" t="str">
        <f t="shared" si="0"/>
        <v/>
      </c>
    </row>
    <row r="33" spans="1:1">
      <c r="A33" s="157" t="str">
        <f t="shared" si="0"/>
        <v/>
      </c>
    </row>
    <row r="34" spans="1:1">
      <c r="A34" s="157" t="str">
        <f t="shared" si="0"/>
        <v/>
      </c>
    </row>
    <row r="35" spans="1:1">
      <c r="A35" s="157" t="str">
        <f t="shared" si="0"/>
        <v/>
      </c>
    </row>
    <row r="36" spans="1:1">
      <c r="A36" s="157" t="str">
        <f t="shared" si="0"/>
        <v/>
      </c>
    </row>
    <row r="37" spans="1:1">
      <c r="A37" s="157" t="str">
        <f t="shared" si="0"/>
        <v/>
      </c>
    </row>
    <row r="38" spans="1:1">
      <c r="A38" s="157" t="str">
        <f t="shared" si="0"/>
        <v/>
      </c>
    </row>
    <row r="39" spans="1:1">
      <c r="A39" s="157" t="str">
        <f t="shared" si="0"/>
        <v/>
      </c>
    </row>
    <row r="40" spans="1:1">
      <c r="A40" s="157" t="str">
        <f t="shared" si="0"/>
        <v/>
      </c>
    </row>
    <row r="41" spans="1:1">
      <c r="A41" s="157" t="str">
        <f t="shared" si="0"/>
        <v/>
      </c>
    </row>
    <row r="42" spans="1:1">
      <c r="A42" s="157" t="str">
        <f t="shared" si="0"/>
        <v/>
      </c>
    </row>
    <row r="43" spans="1:1">
      <c r="A43" s="157" t="str">
        <f t="shared" si="0"/>
        <v/>
      </c>
    </row>
    <row r="44" spans="1:1">
      <c r="A44" s="157" t="str">
        <f t="shared" si="0"/>
        <v/>
      </c>
    </row>
    <row r="45" spans="1:1">
      <c r="A45" s="157" t="str">
        <f t="shared" si="0"/>
        <v/>
      </c>
    </row>
    <row r="46" spans="1:1">
      <c r="A46" s="157" t="str">
        <f t="shared" si="0"/>
        <v/>
      </c>
    </row>
    <row r="47" spans="1:1">
      <c r="A47" s="157" t="str">
        <f t="shared" si="0"/>
        <v/>
      </c>
    </row>
    <row r="48" spans="1:1">
      <c r="A48" s="157" t="str">
        <f t="shared" si="0"/>
        <v/>
      </c>
    </row>
    <row r="49" spans="1:1">
      <c r="A49" s="157" t="str">
        <f t="shared" si="0"/>
        <v/>
      </c>
    </row>
    <row r="50" spans="1:1">
      <c r="A50" s="157" t="str">
        <f t="shared" si="0"/>
        <v/>
      </c>
    </row>
    <row r="51" spans="1:1">
      <c r="A51" s="157" t="str">
        <f t="shared" si="0"/>
        <v/>
      </c>
    </row>
    <row r="52" spans="1:1">
      <c r="A52" s="157" t="str">
        <f t="shared" si="0"/>
        <v/>
      </c>
    </row>
    <row r="53" spans="1:1">
      <c r="A53" s="157" t="str">
        <f t="shared" si="0"/>
        <v/>
      </c>
    </row>
    <row r="54" spans="1:1">
      <c r="A54" s="157" t="str">
        <f t="shared" si="0"/>
        <v/>
      </c>
    </row>
    <row r="55" spans="1:1">
      <c r="A55" s="157" t="str">
        <f t="shared" si="0"/>
        <v/>
      </c>
    </row>
    <row r="56" spans="1:1">
      <c r="A56" s="157" t="str">
        <f t="shared" si="0"/>
        <v/>
      </c>
    </row>
    <row r="57" spans="1:1">
      <c r="A57" s="157" t="str">
        <f t="shared" si="0"/>
        <v/>
      </c>
    </row>
    <row r="58" spans="1:1">
      <c r="A58" s="157" t="str">
        <f t="shared" si="0"/>
        <v/>
      </c>
    </row>
    <row r="59" spans="1:1">
      <c r="A59" s="157" t="str">
        <f t="shared" si="0"/>
        <v/>
      </c>
    </row>
    <row r="60" spans="1:1">
      <c r="A60" s="157" t="str">
        <f t="shared" si="0"/>
        <v/>
      </c>
    </row>
    <row r="61" spans="1:1">
      <c r="A61" s="157" t="str">
        <f t="shared" si="0"/>
        <v/>
      </c>
    </row>
    <row r="62" spans="1:1">
      <c r="A62" s="157" t="str">
        <f t="shared" si="0"/>
        <v/>
      </c>
    </row>
    <row r="63" spans="1:1">
      <c r="A63" s="157" t="str">
        <f t="shared" si="0"/>
        <v/>
      </c>
    </row>
    <row r="64" spans="1:1">
      <c r="A64" s="157" t="str">
        <f t="shared" si="0"/>
        <v/>
      </c>
    </row>
    <row r="65" spans="1:1">
      <c r="A65" s="157" t="str">
        <f t="shared" si="0"/>
        <v/>
      </c>
    </row>
    <row r="66" spans="1:1">
      <c r="A66" s="157" t="str">
        <f t="shared" si="0"/>
        <v/>
      </c>
    </row>
    <row r="67" spans="1:1">
      <c r="A67" s="157" t="str">
        <f t="shared" si="0"/>
        <v/>
      </c>
    </row>
    <row r="68" spans="1:1">
      <c r="A68" s="157" t="str">
        <f t="shared" ref="A68:A131" si="1">IF(B68="","",A67+1)</f>
        <v/>
      </c>
    </row>
    <row r="69" spans="1:1">
      <c r="A69" s="157" t="str">
        <f t="shared" si="1"/>
        <v/>
      </c>
    </row>
    <row r="70" spans="1:1">
      <c r="A70" s="157" t="str">
        <f t="shared" si="1"/>
        <v/>
      </c>
    </row>
    <row r="71" spans="1:1">
      <c r="A71" s="157" t="str">
        <f t="shared" si="1"/>
        <v/>
      </c>
    </row>
    <row r="72" spans="1:1">
      <c r="A72" s="157" t="str">
        <f t="shared" si="1"/>
        <v/>
      </c>
    </row>
    <row r="73" spans="1:1">
      <c r="A73" s="157" t="str">
        <f t="shared" si="1"/>
        <v/>
      </c>
    </row>
    <row r="74" spans="1:1">
      <c r="A74" s="157" t="str">
        <f t="shared" si="1"/>
        <v/>
      </c>
    </row>
    <row r="75" spans="1:1">
      <c r="A75" s="157" t="str">
        <f t="shared" si="1"/>
        <v/>
      </c>
    </row>
    <row r="76" spans="1:1">
      <c r="A76" s="157" t="str">
        <f t="shared" si="1"/>
        <v/>
      </c>
    </row>
    <row r="77" spans="1:1">
      <c r="A77" s="157" t="str">
        <f t="shared" si="1"/>
        <v/>
      </c>
    </row>
    <row r="78" spans="1:1">
      <c r="A78" s="157" t="str">
        <f t="shared" si="1"/>
        <v/>
      </c>
    </row>
    <row r="79" spans="1:1">
      <c r="A79" s="157" t="str">
        <f t="shared" si="1"/>
        <v/>
      </c>
    </row>
    <row r="80" spans="1:1">
      <c r="A80" s="157" t="str">
        <f t="shared" si="1"/>
        <v/>
      </c>
    </row>
    <row r="81" spans="1:1">
      <c r="A81" s="157" t="str">
        <f t="shared" si="1"/>
        <v/>
      </c>
    </row>
    <row r="82" spans="1:1">
      <c r="A82" s="157" t="str">
        <f t="shared" si="1"/>
        <v/>
      </c>
    </row>
    <row r="83" spans="1:1">
      <c r="A83" s="157" t="str">
        <f t="shared" si="1"/>
        <v/>
      </c>
    </row>
    <row r="84" spans="1:1">
      <c r="A84" s="157" t="str">
        <f t="shared" si="1"/>
        <v/>
      </c>
    </row>
    <row r="85" spans="1:1">
      <c r="A85" s="157" t="str">
        <f t="shared" si="1"/>
        <v/>
      </c>
    </row>
    <row r="86" spans="1:1">
      <c r="A86" s="157" t="str">
        <f t="shared" si="1"/>
        <v/>
      </c>
    </row>
    <row r="87" spans="1:1">
      <c r="A87" s="157" t="str">
        <f t="shared" si="1"/>
        <v/>
      </c>
    </row>
    <row r="88" spans="1:1">
      <c r="A88" s="157" t="str">
        <f t="shared" si="1"/>
        <v/>
      </c>
    </row>
    <row r="89" spans="1:1">
      <c r="A89" s="157" t="str">
        <f t="shared" si="1"/>
        <v/>
      </c>
    </row>
    <row r="90" spans="1:1">
      <c r="A90" s="157" t="str">
        <f t="shared" si="1"/>
        <v/>
      </c>
    </row>
    <row r="91" spans="1:1">
      <c r="A91" s="157" t="str">
        <f t="shared" si="1"/>
        <v/>
      </c>
    </row>
    <row r="92" spans="1:1">
      <c r="A92" s="157" t="str">
        <f t="shared" si="1"/>
        <v/>
      </c>
    </row>
    <row r="93" spans="1:1">
      <c r="A93" s="157" t="str">
        <f t="shared" si="1"/>
        <v/>
      </c>
    </row>
    <row r="94" spans="1:1">
      <c r="A94" s="157" t="str">
        <f t="shared" si="1"/>
        <v/>
      </c>
    </row>
    <row r="95" spans="1:1">
      <c r="A95" s="157" t="str">
        <f t="shared" si="1"/>
        <v/>
      </c>
    </row>
    <row r="96" spans="1:1">
      <c r="A96" s="157" t="str">
        <f t="shared" si="1"/>
        <v/>
      </c>
    </row>
    <row r="97" spans="1:1">
      <c r="A97" s="157" t="str">
        <f t="shared" si="1"/>
        <v/>
      </c>
    </row>
    <row r="98" spans="1:1">
      <c r="A98" s="157" t="str">
        <f t="shared" si="1"/>
        <v/>
      </c>
    </row>
    <row r="99" spans="1:1">
      <c r="A99" s="157" t="str">
        <f t="shared" si="1"/>
        <v/>
      </c>
    </row>
    <row r="100" spans="1:1">
      <c r="A100" s="157" t="str">
        <f t="shared" si="1"/>
        <v/>
      </c>
    </row>
    <row r="101" spans="1:1">
      <c r="A101" s="157" t="str">
        <f t="shared" si="1"/>
        <v/>
      </c>
    </row>
    <row r="102" spans="1:1">
      <c r="A102" s="157" t="str">
        <f t="shared" si="1"/>
        <v/>
      </c>
    </row>
    <row r="103" spans="1:1">
      <c r="A103" s="157" t="str">
        <f t="shared" si="1"/>
        <v/>
      </c>
    </row>
    <row r="104" spans="1:1">
      <c r="A104" s="157" t="str">
        <f t="shared" si="1"/>
        <v/>
      </c>
    </row>
    <row r="105" spans="1:1">
      <c r="A105" s="157" t="str">
        <f t="shared" si="1"/>
        <v/>
      </c>
    </row>
    <row r="106" spans="1:1">
      <c r="A106" s="157" t="str">
        <f t="shared" si="1"/>
        <v/>
      </c>
    </row>
    <row r="107" spans="1:1">
      <c r="A107" s="157" t="str">
        <f t="shared" si="1"/>
        <v/>
      </c>
    </row>
    <row r="108" spans="1:1">
      <c r="A108" s="157" t="str">
        <f t="shared" si="1"/>
        <v/>
      </c>
    </row>
    <row r="109" spans="1:1">
      <c r="A109" s="157" t="str">
        <f t="shared" si="1"/>
        <v/>
      </c>
    </row>
    <row r="110" spans="1:1">
      <c r="A110" s="157" t="str">
        <f t="shared" si="1"/>
        <v/>
      </c>
    </row>
    <row r="111" spans="1:1">
      <c r="A111" s="157" t="str">
        <f t="shared" si="1"/>
        <v/>
      </c>
    </row>
    <row r="112" spans="1:1">
      <c r="A112" s="157" t="str">
        <f t="shared" si="1"/>
        <v/>
      </c>
    </row>
    <row r="113" spans="1:1">
      <c r="A113" s="157" t="str">
        <f t="shared" si="1"/>
        <v/>
      </c>
    </row>
    <row r="114" spans="1:1">
      <c r="A114" s="157" t="str">
        <f t="shared" si="1"/>
        <v/>
      </c>
    </row>
    <row r="115" spans="1:1">
      <c r="A115" s="157" t="str">
        <f t="shared" si="1"/>
        <v/>
      </c>
    </row>
    <row r="116" spans="1:1">
      <c r="A116" s="157" t="str">
        <f t="shared" si="1"/>
        <v/>
      </c>
    </row>
    <row r="117" spans="1:1">
      <c r="A117" s="157" t="str">
        <f t="shared" si="1"/>
        <v/>
      </c>
    </row>
    <row r="118" spans="1:1">
      <c r="A118" s="157" t="str">
        <f t="shared" si="1"/>
        <v/>
      </c>
    </row>
    <row r="119" spans="1:1">
      <c r="A119" s="157" t="str">
        <f t="shared" si="1"/>
        <v/>
      </c>
    </row>
    <row r="120" spans="1:1">
      <c r="A120" s="157" t="str">
        <f t="shared" si="1"/>
        <v/>
      </c>
    </row>
    <row r="121" spans="1:1">
      <c r="A121" s="157" t="str">
        <f t="shared" si="1"/>
        <v/>
      </c>
    </row>
    <row r="122" spans="1:1">
      <c r="A122" s="157" t="str">
        <f t="shared" si="1"/>
        <v/>
      </c>
    </row>
    <row r="123" spans="1:1">
      <c r="A123" s="157" t="str">
        <f t="shared" si="1"/>
        <v/>
      </c>
    </row>
    <row r="124" spans="1:1">
      <c r="A124" s="157" t="str">
        <f t="shared" si="1"/>
        <v/>
      </c>
    </row>
    <row r="125" spans="1:1">
      <c r="A125" s="157" t="str">
        <f t="shared" si="1"/>
        <v/>
      </c>
    </row>
    <row r="126" spans="1:1">
      <c r="A126" s="157" t="str">
        <f t="shared" si="1"/>
        <v/>
      </c>
    </row>
    <row r="127" spans="1:1">
      <c r="A127" s="157" t="str">
        <f t="shared" si="1"/>
        <v/>
      </c>
    </row>
    <row r="128" spans="1:1">
      <c r="A128" s="157" t="str">
        <f t="shared" si="1"/>
        <v/>
      </c>
    </row>
    <row r="129" spans="1:1">
      <c r="A129" s="157" t="str">
        <f t="shared" si="1"/>
        <v/>
      </c>
    </row>
    <row r="130" spans="1:1">
      <c r="A130" s="157" t="str">
        <f t="shared" si="1"/>
        <v/>
      </c>
    </row>
    <row r="131" spans="1:1">
      <c r="A131" s="157" t="str">
        <f t="shared" si="1"/>
        <v/>
      </c>
    </row>
    <row r="132" spans="1:1">
      <c r="A132" s="157" t="str">
        <f t="shared" ref="A132:A195" si="2">IF(B132="","",A131+1)</f>
        <v/>
      </c>
    </row>
    <row r="133" spans="1:1">
      <c r="A133" s="157" t="str">
        <f t="shared" si="2"/>
        <v/>
      </c>
    </row>
    <row r="134" spans="1:1">
      <c r="A134" s="157" t="str">
        <f t="shared" si="2"/>
        <v/>
      </c>
    </row>
    <row r="135" spans="1:1">
      <c r="A135" s="157" t="str">
        <f t="shared" si="2"/>
        <v/>
      </c>
    </row>
    <row r="136" spans="1:1">
      <c r="A136" s="157" t="str">
        <f t="shared" si="2"/>
        <v/>
      </c>
    </row>
    <row r="137" spans="1:1">
      <c r="A137" s="157" t="str">
        <f t="shared" si="2"/>
        <v/>
      </c>
    </row>
    <row r="138" spans="1:1">
      <c r="A138" s="157" t="str">
        <f t="shared" si="2"/>
        <v/>
      </c>
    </row>
    <row r="139" spans="1:1">
      <c r="A139" s="157" t="str">
        <f t="shared" si="2"/>
        <v/>
      </c>
    </row>
    <row r="140" spans="1:1">
      <c r="A140" s="157" t="str">
        <f t="shared" si="2"/>
        <v/>
      </c>
    </row>
    <row r="141" spans="1:1">
      <c r="A141" s="157" t="str">
        <f t="shared" si="2"/>
        <v/>
      </c>
    </row>
    <row r="142" spans="1:1">
      <c r="A142" s="157" t="str">
        <f t="shared" si="2"/>
        <v/>
      </c>
    </row>
    <row r="143" spans="1:1">
      <c r="A143" s="157" t="str">
        <f t="shared" si="2"/>
        <v/>
      </c>
    </row>
    <row r="144" spans="1:1">
      <c r="A144" s="157" t="str">
        <f t="shared" si="2"/>
        <v/>
      </c>
    </row>
    <row r="145" spans="1:1">
      <c r="A145" s="157" t="str">
        <f t="shared" si="2"/>
        <v/>
      </c>
    </row>
    <row r="146" spans="1:1">
      <c r="A146" s="157" t="str">
        <f t="shared" si="2"/>
        <v/>
      </c>
    </row>
    <row r="147" spans="1:1">
      <c r="A147" s="157" t="str">
        <f t="shared" si="2"/>
        <v/>
      </c>
    </row>
    <row r="148" spans="1:1">
      <c r="A148" s="157" t="str">
        <f t="shared" si="2"/>
        <v/>
      </c>
    </row>
    <row r="149" spans="1:1">
      <c r="A149" s="157" t="str">
        <f t="shared" si="2"/>
        <v/>
      </c>
    </row>
    <row r="150" spans="1:1">
      <c r="A150" s="157" t="str">
        <f t="shared" si="2"/>
        <v/>
      </c>
    </row>
    <row r="151" spans="1:1">
      <c r="A151" s="157" t="str">
        <f t="shared" si="2"/>
        <v/>
      </c>
    </row>
    <row r="152" spans="1:1">
      <c r="A152" s="157" t="str">
        <f t="shared" si="2"/>
        <v/>
      </c>
    </row>
    <row r="153" spans="1:1">
      <c r="A153" s="157" t="str">
        <f t="shared" si="2"/>
        <v/>
      </c>
    </row>
    <row r="154" spans="1:1">
      <c r="A154" s="157" t="str">
        <f t="shared" si="2"/>
        <v/>
      </c>
    </row>
    <row r="155" spans="1:1">
      <c r="A155" s="157" t="str">
        <f t="shared" si="2"/>
        <v/>
      </c>
    </row>
    <row r="156" spans="1:1">
      <c r="A156" s="157" t="str">
        <f t="shared" si="2"/>
        <v/>
      </c>
    </row>
    <row r="157" spans="1:1">
      <c r="A157" s="157" t="str">
        <f t="shared" si="2"/>
        <v/>
      </c>
    </row>
    <row r="158" spans="1:1">
      <c r="A158" s="157" t="str">
        <f t="shared" si="2"/>
        <v/>
      </c>
    </row>
    <row r="159" spans="1:1">
      <c r="A159" s="157" t="str">
        <f t="shared" si="2"/>
        <v/>
      </c>
    </row>
    <row r="160" spans="1:1">
      <c r="A160" s="157" t="str">
        <f t="shared" si="2"/>
        <v/>
      </c>
    </row>
    <row r="161" spans="1:1">
      <c r="A161" s="157" t="str">
        <f t="shared" si="2"/>
        <v/>
      </c>
    </row>
    <row r="162" spans="1:1">
      <c r="A162" s="157" t="str">
        <f t="shared" si="2"/>
        <v/>
      </c>
    </row>
    <row r="163" spans="1:1">
      <c r="A163" s="157" t="str">
        <f t="shared" si="2"/>
        <v/>
      </c>
    </row>
    <row r="164" spans="1:1">
      <c r="A164" s="157" t="str">
        <f t="shared" si="2"/>
        <v/>
      </c>
    </row>
    <row r="165" spans="1:1">
      <c r="A165" s="157" t="str">
        <f t="shared" si="2"/>
        <v/>
      </c>
    </row>
    <row r="166" spans="1:1">
      <c r="A166" s="157" t="str">
        <f t="shared" si="2"/>
        <v/>
      </c>
    </row>
    <row r="167" spans="1:1">
      <c r="A167" s="157" t="str">
        <f t="shared" si="2"/>
        <v/>
      </c>
    </row>
    <row r="168" spans="1:1">
      <c r="A168" s="157" t="str">
        <f t="shared" si="2"/>
        <v/>
      </c>
    </row>
    <row r="169" spans="1:1">
      <c r="A169" s="157" t="str">
        <f t="shared" si="2"/>
        <v/>
      </c>
    </row>
    <row r="170" spans="1:1">
      <c r="A170" s="157" t="str">
        <f t="shared" si="2"/>
        <v/>
      </c>
    </row>
    <row r="171" spans="1:1">
      <c r="A171" s="157" t="str">
        <f t="shared" si="2"/>
        <v/>
      </c>
    </row>
    <row r="172" spans="1:1">
      <c r="A172" s="157" t="str">
        <f t="shared" si="2"/>
        <v/>
      </c>
    </row>
    <row r="173" spans="1:1">
      <c r="A173" s="157" t="str">
        <f t="shared" si="2"/>
        <v/>
      </c>
    </row>
    <row r="174" spans="1:1">
      <c r="A174" s="157" t="str">
        <f t="shared" si="2"/>
        <v/>
      </c>
    </row>
    <row r="175" spans="1:1">
      <c r="A175" s="157" t="str">
        <f t="shared" si="2"/>
        <v/>
      </c>
    </row>
    <row r="176" spans="1:1">
      <c r="A176" s="157" t="str">
        <f t="shared" si="2"/>
        <v/>
      </c>
    </row>
    <row r="177" spans="1:1">
      <c r="A177" s="157" t="str">
        <f t="shared" si="2"/>
        <v/>
      </c>
    </row>
    <row r="178" spans="1:1">
      <c r="A178" s="157" t="str">
        <f t="shared" si="2"/>
        <v/>
      </c>
    </row>
    <row r="179" spans="1:1">
      <c r="A179" s="157" t="str">
        <f t="shared" si="2"/>
        <v/>
      </c>
    </row>
    <row r="180" spans="1:1">
      <c r="A180" s="157" t="str">
        <f t="shared" si="2"/>
        <v/>
      </c>
    </row>
    <row r="181" spans="1:1">
      <c r="A181" s="157" t="str">
        <f t="shared" si="2"/>
        <v/>
      </c>
    </row>
    <row r="182" spans="1:1">
      <c r="A182" s="157" t="str">
        <f t="shared" si="2"/>
        <v/>
      </c>
    </row>
    <row r="183" spans="1:1">
      <c r="A183" s="157" t="str">
        <f t="shared" si="2"/>
        <v/>
      </c>
    </row>
    <row r="184" spans="1:1">
      <c r="A184" s="157" t="str">
        <f t="shared" si="2"/>
        <v/>
      </c>
    </row>
    <row r="185" spans="1:1">
      <c r="A185" s="157" t="str">
        <f t="shared" si="2"/>
        <v/>
      </c>
    </row>
    <row r="186" spans="1:1">
      <c r="A186" s="157" t="str">
        <f t="shared" si="2"/>
        <v/>
      </c>
    </row>
    <row r="187" spans="1:1">
      <c r="A187" s="157" t="str">
        <f t="shared" si="2"/>
        <v/>
      </c>
    </row>
    <row r="188" spans="1:1">
      <c r="A188" s="157" t="str">
        <f t="shared" si="2"/>
        <v/>
      </c>
    </row>
    <row r="189" spans="1:1">
      <c r="A189" s="157" t="str">
        <f t="shared" si="2"/>
        <v/>
      </c>
    </row>
    <row r="190" spans="1:1">
      <c r="A190" s="157" t="str">
        <f t="shared" si="2"/>
        <v/>
      </c>
    </row>
    <row r="191" spans="1:1">
      <c r="A191" s="157" t="str">
        <f t="shared" si="2"/>
        <v/>
      </c>
    </row>
    <row r="192" spans="1:1">
      <c r="A192" s="157" t="str">
        <f t="shared" si="2"/>
        <v/>
      </c>
    </row>
    <row r="193" spans="1:1">
      <c r="A193" s="157" t="str">
        <f t="shared" si="2"/>
        <v/>
      </c>
    </row>
    <row r="194" spans="1:1">
      <c r="A194" s="157" t="str">
        <f t="shared" si="2"/>
        <v/>
      </c>
    </row>
    <row r="195" spans="1:1">
      <c r="A195" s="157" t="str">
        <f t="shared" si="2"/>
        <v/>
      </c>
    </row>
    <row r="196" spans="1:1">
      <c r="A196" s="157" t="str">
        <f t="shared" ref="A196:A251" si="3">IF(B196="","",A195+1)</f>
        <v/>
      </c>
    </row>
    <row r="197" spans="1:1">
      <c r="A197" s="157" t="str">
        <f t="shared" si="3"/>
        <v/>
      </c>
    </row>
    <row r="198" spans="1:1">
      <c r="A198" s="157" t="str">
        <f t="shared" si="3"/>
        <v/>
      </c>
    </row>
    <row r="199" spans="1:1">
      <c r="A199" s="157" t="str">
        <f t="shared" si="3"/>
        <v/>
      </c>
    </row>
    <row r="200" spans="1:1">
      <c r="A200" s="157" t="str">
        <f t="shared" si="3"/>
        <v/>
      </c>
    </row>
    <row r="201" spans="1:1">
      <c r="A201" s="157" t="str">
        <f t="shared" si="3"/>
        <v/>
      </c>
    </row>
    <row r="202" spans="1:1">
      <c r="A202" s="157" t="str">
        <f t="shared" si="3"/>
        <v/>
      </c>
    </row>
    <row r="203" spans="1:1">
      <c r="A203" s="157" t="str">
        <f t="shared" si="3"/>
        <v/>
      </c>
    </row>
    <row r="204" spans="1:1">
      <c r="A204" s="157" t="str">
        <f t="shared" si="3"/>
        <v/>
      </c>
    </row>
    <row r="205" spans="1:1">
      <c r="A205" s="157" t="str">
        <f t="shared" si="3"/>
        <v/>
      </c>
    </row>
    <row r="206" spans="1:1">
      <c r="A206" s="157" t="str">
        <f t="shared" si="3"/>
        <v/>
      </c>
    </row>
    <row r="207" spans="1:1">
      <c r="A207" s="157" t="str">
        <f t="shared" si="3"/>
        <v/>
      </c>
    </row>
    <row r="208" spans="1:1">
      <c r="A208" s="157" t="str">
        <f t="shared" si="3"/>
        <v/>
      </c>
    </row>
    <row r="209" spans="1:1">
      <c r="A209" s="157" t="str">
        <f t="shared" si="3"/>
        <v/>
      </c>
    </row>
    <row r="210" spans="1:1">
      <c r="A210" s="157" t="str">
        <f t="shared" si="3"/>
        <v/>
      </c>
    </row>
    <row r="211" spans="1:1">
      <c r="A211" s="157" t="str">
        <f t="shared" si="3"/>
        <v/>
      </c>
    </row>
    <row r="212" spans="1:1">
      <c r="A212" s="157" t="str">
        <f t="shared" si="3"/>
        <v/>
      </c>
    </row>
    <row r="213" spans="1:1">
      <c r="A213" s="157" t="str">
        <f t="shared" si="3"/>
        <v/>
      </c>
    </row>
    <row r="214" spans="1:1">
      <c r="A214" s="157" t="str">
        <f t="shared" si="3"/>
        <v/>
      </c>
    </row>
    <row r="215" spans="1:1">
      <c r="A215" s="157" t="str">
        <f t="shared" si="3"/>
        <v/>
      </c>
    </row>
    <row r="216" spans="1:1">
      <c r="A216" s="157" t="str">
        <f t="shared" si="3"/>
        <v/>
      </c>
    </row>
    <row r="217" spans="1:1">
      <c r="A217" s="157" t="str">
        <f t="shared" si="3"/>
        <v/>
      </c>
    </row>
    <row r="218" spans="1:1">
      <c r="A218" s="157" t="str">
        <f t="shared" si="3"/>
        <v/>
      </c>
    </row>
    <row r="219" spans="1:1">
      <c r="A219" s="157" t="str">
        <f t="shared" si="3"/>
        <v/>
      </c>
    </row>
    <row r="220" spans="1:1">
      <c r="A220" s="157" t="str">
        <f t="shared" si="3"/>
        <v/>
      </c>
    </row>
    <row r="221" spans="1:1">
      <c r="A221" s="157" t="str">
        <f t="shared" si="3"/>
        <v/>
      </c>
    </row>
    <row r="222" spans="1:1">
      <c r="A222" s="157" t="str">
        <f t="shared" si="3"/>
        <v/>
      </c>
    </row>
    <row r="223" spans="1:1">
      <c r="A223" s="157" t="str">
        <f t="shared" si="3"/>
        <v/>
      </c>
    </row>
    <row r="224" spans="1:1">
      <c r="A224" s="157" t="str">
        <f t="shared" si="3"/>
        <v/>
      </c>
    </row>
    <row r="225" spans="1:1">
      <c r="A225" s="157" t="str">
        <f t="shared" si="3"/>
        <v/>
      </c>
    </row>
    <row r="226" spans="1:1">
      <c r="A226" s="157" t="str">
        <f t="shared" si="3"/>
        <v/>
      </c>
    </row>
    <row r="227" spans="1:1">
      <c r="A227" s="157" t="str">
        <f t="shared" si="3"/>
        <v/>
      </c>
    </row>
    <row r="228" spans="1:1">
      <c r="A228" s="157" t="str">
        <f t="shared" si="3"/>
        <v/>
      </c>
    </row>
    <row r="229" spans="1:1">
      <c r="A229" s="157" t="str">
        <f t="shared" si="3"/>
        <v/>
      </c>
    </row>
    <row r="230" spans="1:1">
      <c r="A230" s="157" t="str">
        <f t="shared" si="3"/>
        <v/>
      </c>
    </row>
    <row r="231" spans="1:1">
      <c r="A231" s="157" t="str">
        <f t="shared" si="3"/>
        <v/>
      </c>
    </row>
    <row r="232" spans="1:1">
      <c r="A232" s="157" t="str">
        <f t="shared" si="3"/>
        <v/>
      </c>
    </row>
    <row r="233" spans="1:1">
      <c r="A233" s="157" t="str">
        <f t="shared" si="3"/>
        <v/>
      </c>
    </row>
    <row r="234" spans="1:1">
      <c r="A234" s="157" t="str">
        <f t="shared" si="3"/>
        <v/>
      </c>
    </row>
    <row r="235" spans="1:1">
      <c r="A235" s="157" t="str">
        <f t="shared" si="3"/>
        <v/>
      </c>
    </row>
    <row r="236" spans="1:1">
      <c r="A236" s="157" t="str">
        <f t="shared" si="3"/>
        <v/>
      </c>
    </row>
    <row r="237" spans="1:1">
      <c r="A237" s="157" t="str">
        <f t="shared" si="3"/>
        <v/>
      </c>
    </row>
    <row r="238" spans="1:1">
      <c r="A238" s="157" t="str">
        <f t="shared" si="3"/>
        <v/>
      </c>
    </row>
    <row r="239" spans="1:1">
      <c r="A239" s="157" t="str">
        <f t="shared" si="3"/>
        <v/>
      </c>
    </row>
    <row r="240" spans="1:1">
      <c r="A240" s="157" t="str">
        <f t="shared" si="3"/>
        <v/>
      </c>
    </row>
    <row r="241" spans="1:1">
      <c r="A241" s="157" t="str">
        <f t="shared" si="3"/>
        <v/>
      </c>
    </row>
    <row r="242" spans="1:1">
      <c r="A242" s="157" t="str">
        <f t="shared" si="3"/>
        <v/>
      </c>
    </row>
    <row r="243" spans="1:1">
      <c r="A243" s="157" t="str">
        <f t="shared" si="3"/>
        <v/>
      </c>
    </row>
    <row r="244" spans="1:1">
      <c r="A244" s="157" t="str">
        <f t="shared" si="3"/>
        <v/>
      </c>
    </row>
    <row r="245" spans="1:1">
      <c r="A245" s="157" t="str">
        <f t="shared" si="3"/>
        <v/>
      </c>
    </row>
    <row r="246" spans="1:1">
      <c r="A246" s="157" t="str">
        <f t="shared" si="3"/>
        <v/>
      </c>
    </row>
    <row r="247" spans="1:1">
      <c r="A247" s="157" t="str">
        <f t="shared" si="3"/>
        <v/>
      </c>
    </row>
    <row r="248" spans="1:1">
      <c r="A248" s="157" t="str">
        <f t="shared" si="3"/>
        <v/>
      </c>
    </row>
    <row r="249" spans="1:1">
      <c r="A249" s="157" t="str">
        <f t="shared" si="3"/>
        <v/>
      </c>
    </row>
    <row r="250" spans="1:1">
      <c r="A250" s="157" t="str">
        <f t="shared" si="3"/>
        <v/>
      </c>
    </row>
    <row r="251" spans="1:1">
      <c r="A251" s="157" t="str">
        <f t="shared" si="3"/>
        <v/>
      </c>
    </row>
  </sheetData>
  <conditionalFormatting sqref="C2:C1048576">
    <cfRule type="containsText" dxfId="1" priority="1" operator="containsText" text="Pending">
      <formula>NOT(ISERROR(SEARCH("Pending",C2)))</formula>
    </cfRule>
    <cfRule type="containsText" dxfId="0" priority="2" operator="containsText" text="Fixed">
      <formula>NOT(ISERROR(SEARCH("Fixed",C2)))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59999389629810485"/>
  </sheetPr>
  <dimension ref="A1:P18"/>
  <sheetViews>
    <sheetView showGridLines="0" workbookViewId="0">
      <selection activeCell="K5" sqref="K5"/>
    </sheetView>
  </sheetViews>
  <sheetFormatPr defaultColWidth="0" defaultRowHeight="15" zeroHeight="1"/>
  <cols>
    <col min="1" max="4" width="9.140625" customWidth="1"/>
    <col min="5" max="5" width="17.140625" customWidth="1"/>
    <col min="6" max="7" width="3.42578125" customWidth="1"/>
    <col min="8" max="8" width="17.28515625" customWidth="1"/>
    <col min="9" max="9" width="26.42578125" bestFit="1" customWidth="1"/>
    <col min="10" max="10" width="3.42578125" bestFit="1" customWidth="1"/>
    <col min="11" max="11" width="11" bestFit="1" customWidth="1"/>
    <col min="12" max="12" width="14.5703125" bestFit="1" customWidth="1"/>
    <col min="13" max="13" width="15.42578125" bestFit="1" customWidth="1"/>
    <col min="14" max="16" width="9.140625" customWidth="1"/>
    <col min="17" max="16384" width="9.140625" hidden="1"/>
  </cols>
  <sheetData>
    <row r="1" spans="2:15" ht="15.75" thickBot="1"/>
    <row r="2" spans="2:15">
      <c r="B2" s="200"/>
      <c r="C2" s="201"/>
      <c r="D2" s="201"/>
      <c r="E2" s="201"/>
      <c r="F2" s="201"/>
      <c r="G2" s="201"/>
      <c r="H2" s="201"/>
      <c r="I2" s="201"/>
      <c r="J2" s="201"/>
      <c r="K2" s="201"/>
      <c r="L2" s="201"/>
      <c r="M2" s="201"/>
      <c r="N2" s="202"/>
    </row>
    <row r="3" spans="2:15" ht="18">
      <c r="B3" s="203" t="s">
        <v>35</v>
      </c>
      <c r="C3" s="105"/>
      <c r="D3" s="105"/>
      <c r="E3" s="104"/>
      <c r="F3" s="105"/>
      <c r="G3" s="105"/>
      <c r="H3" s="105"/>
      <c r="I3" s="178" t="s">
        <v>1247</v>
      </c>
      <c r="J3" s="179">
        <v>1</v>
      </c>
      <c r="K3" s="180">
        <v>396</v>
      </c>
      <c r="L3" s="181">
        <f>K3*J3</f>
        <v>396</v>
      </c>
      <c r="M3" s="104"/>
      <c r="N3" s="204"/>
    </row>
    <row r="4" spans="2:15">
      <c r="B4" s="205"/>
      <c r="C4" s="245"/>
      <c r="D4" s="245"/>
      <c r="E4" s="246"/>
      <c r="F4" s="245"/>
      <c r="G4" s="245"/>
      <c r="H4" s="245"/>
      <c r="I4" s="246"/>
      <c r="J4" s="247"/>
      <c r="K4" s="248"/>
      <c r="L4" s="249"/>
      <c r="M4" s="246"/>
      <c r="N4" s="204"/>
    </row>
    <row r="5" spans="2:15" ht="15.75" thickBot="1">
      <c r="B5" s="206"/>
      <c r="C5" s="191" t="s">
        <v>15</v>
      </c>
      <c r="D5" s="192" t="s">
        <v>1322</v>
      </c>
      <c r="E5" s="192"/>
      <c r="F5" s="193"/>
      <c r="G5" s="193"/>
      <c r="H5" s="191"/>
      <c r="I5" s="192" t="s">
        <v>1300</v>
      </c>
      <c r="J5" s="194">
        <v>3</v>
      </c>
      <c r="K5" s="195">
        <v>132</v>
      </c>
      <c r="L5" s="196"/>
      <c r="M5" s="192" t="s">
        <v>1303</v>
      </c>
      <c r="N5" s="204"/>
    </row>
    <row r="6" spans="2:15">
      <c r="B6" s="206"/>
      <c r="C6" s="191"/>
      <c r="D6" s="213"/>
      <c r="E6" s="215" t="s">
        <v>1319</v>
      </c>
      <c r="F6" s="216" t="s">
        <v>1302</v>
      </c>
      <c r="G6" s="217"/>
      <c r="H6" s="218"/>
      <c r="I6" s="219" t="s">
        <v>1315</v>
      </c>
      <c r="J6" s="220">
        <v>3</v>
      </c>
      <c r="K6" s="221">
        <v>24</v>
      </c>
      <c r="L6" s="222"/>
      <c r="M6" s="223" t="s">
        <v>1304</v>
      </c>
      <c r="N6" s="204"/>
    </row>
    <row r="7" spans="2:15">
      <c r="B7" s="206"/>
      <c r="C7" s="191"/>
      <c r="D7" s="213"/>
      <c r="E7" s="224"/>
      <c r="F7" s="214"/>
      <c r="G7" s="197" t="s">
        <v>1305</v>
      </c>
      <c r="H7" s="198" t="s">
        <v>1306</v>
      </c>
      <c r="I7" s="212" t="s">
        <v>1300</v>
      </c>
      <c r="J7" s="199">
        <v>3</v>
      </c>
      <c r="K7" s="211">
        <v>4</v>
      </c>
      <c r="L7" s="210" t="s">
        <v>1307</v>
      </c>
      <c r="M7" s="225" t="s">
        <v>1308</v>
      </c>
      <c r="N7" s="204"/>
    </row>
    <row r="8" spans="2:15" ht="15.75" thickBot="1">
      <c r="B8" s="206"/>
      <c r="C8" s="191"/>
      <c r="D8" s="213"/>
      <c r="E8" s="226"/>
      <c r="F8" s="227"/>
      <c r="G8" s="228" t="s">
        <v>1309</v>
      </c>
      <c r="H8" s="229" t="s">
        <v>1228</v>
      </c>
      <c r="I8" s="230" t="s">
        <v>1300</v>
      </c>
      <c r="J8" s="231">
        <v>3</v>
      </c>
      <c r="K8" s="232">
        <v>4</v>
      </c>
      <c r="L8" s="233" t="s">
        <v>1307</v>
      </c>
      <c r="M8" s="234" t="s">
        <v>1310</v>
      </c>
      <c r="N8" s="204"/>
    </row>
    <row r="9" spans="2:15" ht="15.75" thickBot="1">
      <c r="B9" s="205"/>
      <c r="C9" s="191"/>
      <c r="D9" s="213"/>
      <c r="E9" s="235" t="s">
        <v>1320</v>
      </c>
      <c r="F9" s="236" t="s">
        <v>1311</v>
      </c>
      <c r="G9" s="237"/>
      <c r="H9" s="238"/>
      <c r="I9" s="239" t="s">
        <v>4</v>
      </c>
      <c r="J9" s="240">
        <v>3</v>
      </c>
      <c r="K9" s="241">
        <v>4</v>
      </c>
      <c r="L9" s="242" t="s">
        <v>1307</v>
      </c>
      <c r="M9" s="243" t="s">
        <v>1312</v>
      </c>
      <c r="N9" s="204"/>
    </row>
    <row r="10" spans="2:15" ht="15.75" thickBot="1">
      <c r="B10" s="205"/>
      <c r="C10" s="191"/>
      <c r="D10" s="213"/>
      <c r="E10" s="235" t="s">
        <v>1313</v>
      </c>
      <c r="F10" s="236" t="s">
        <v>1311</v>
      </c>
      <c r="G10" s="237"/>
      <c r="H10" s="238"/>
      <c r="I10" s="239" t="s">
        <v>1301</v>
      </c>
      <c r="J10" s="240">
        <v>3</v>
      </c>
      <c r="K10" s="241">
        <v>4</v>
      </c>
      <c r="L10" s="242" t="s">
        <v>1307</v>
      </c>
      <c r="M10" s="243" t="s">
        <v>1314</v>
      </c>
      <c r="N10" s="204"/>
    </row>
    <row r="11" spans="2:15">
      <c r="B11" s="205"/>
      <c r="C11" s="191"/>
      <c r="D11" s="213"/>
      <c r="E11" s="215" t="s">
        <v>1321</v>
      </c>
      <c r="F11" s="216" t="s">
        <v>1302</v>
      </c>
      <c r="G11" s="217"/>
      <c r="H11" s="218"/>
      <c r="I11" s="219" t="s">
        <v>1315</v>
      </c>
      <c r="J11" s="220">
        <v>3</v>
      </c>
      <c r="K11" s="221">
        <v>12</v>
      </c>
      <c r="L11" s="222"/>
      <c r="M11" s="223" t="s">
        <v>1316</v>
      </c>
      <c r="N11" s="204"/>
    </row>
    <row r="12" spans="2:15">
      <c r="B12" s="205"/>
      <c r="C12" s="191"/>
      <c r="D12" s="213"/>
      <c r="E12" s="224"/>
      <c r="F12" s="214"/>
      <c r="G12" s="197" t="s">
        <v>1317</v>
      </c>
      <c r="H12" s="198" t="s">
        <v>1104</v>
      </c>
      <c r="I12" s="212" t="s">
        <v>1300</v>
      </c>
      <c r="J12" s="199">
        <v>3</v>
      </c>
      <c r="K12" s="211">
        <v>4</v>
      </c>
      <c r="L12" s="210" t="s">
        <v>1307</v>
      </c>
      <c r="M12" s="225" t="s">
        <v>1318</v>
      </c>
      <c r="N12" s="204"/>
    </row>
    <row r="13" spans="2:15" ht="15.75" thickBot="1">
      <c r="B13" s="207"/>
      <c r="C13" s="191"/>
      <c r="D13" s="213"/>
      <c r="E13" s="226"/>
      <c r="F13" s="227"/>
      <c r="G13" s="228" t="s">
        <v>1309</v>
      </c>
      <c r="H13" s="229" t="s">
        <v>1228</v>
      </c>
      <c r="I13" s="230" t="s">
        <v>1300</v>
      </c>
      <c r="J13" s="231">
        <v>3</v>
      </c>
      <c r="K13" s="232">
        <v>4</v>
      </c>
      <c r="L13" s="233" t="s">
        <v>1307</v>
      </c>
      <c r="M13" s="234" t="s">
        <v>1310</v>
      </c>
      <c r="N13" s="204"/>
    </row>
    <row r="14" spans="2:15" ht="15.75" thickBot="1">
      <c r="B14" s="208"/>
      <c r="C14" s="250"/>
      <c r="D14" s="250"/>
      <c r="E14" s="250"/>
      <c r="F14" s="250"/>
      <c r="G14" s="250"/>
      <c r="H14" s="250"/>
      <c r="I14" s="250"/>
      <c r="J14" s="250"/>
      <c r="K14" s="250"/>
      <c r="L14" s="250"/>
      <c r="M14" s="250"/>
      <c r="N14" s="209"/>
    </row>
    <row r="15" spans="2:15"/>
    <row r="16" spans="2:15" ht="19.5" customHeight="1">
      <c r="B16" s="474" t="s">
        <v>1329</v>
      </c>
      <c r="C16" s="475"/>
      <c r="D16" s="475"/>
      <c r="E16" s="475"/>
      <c r="F16" s="475"/>
      <c r="G16" s="475"/>
      <c r="H16" s="475"/>
      <c r="I16" s="475"/>
      <c r="J16" s="475"/>
      <c r="K16" s="475"/>
      <c r="L16" s="475"/>
      <c r="M16" s="475"/>
      <c r="N16" s="475"/>
      <c r="O16" s="475"/>
    </row>
    <row r="17" spans="2:15" ht="19.5" customHeight="1">
      <c r="B17" s="475"/>
      <c r="C17" s="475"/>
      <c r="D17" s="475"/>
      <c r="E17" s="475"/>
      <c r="F17" s="475"/>
      <c r="G17" s="475"/>
      <c r="H17" s="475"/>
      <c r="I17" s="475"/>
      <c r="J17" s="475"/>
      <c r="K17" s="475"/>
      <c r="L17" s="475"/>
      <c r="M17" s="475"/>
      <c r="N17" s="475"/>
      <c r="O17" s="475"/>
    </row>
    <row r="18" spans="2:15"/>
  </sheetData>
  <mergeCells count="1">
    <mergeCell ref="B16:O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2</vt:i4>
      </vt:variant>
    </vt:vector>
  </HeadingPairs>
  <TitlesOfParts>
    <vt:vector size="7" baseType="lpstr">
      <vt:lpstr>Car</vt:lpstr>
      <vt:lpstr>BOM</vt:lpstr>
      <vt:lpstr>Guidelines</vt:lpstr>
      <vt:lpstr>Macros</vt:lpstr>
      <vt:lpstr>Example</vt:lpstr>
      <vt:lpstr>CarNo</vt:lpstr>
      <vt:lpstr>Systems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Constantina Gouliermi</dc:creator>
  <cp:lastModifiedBy>CASPER</cp:lastModifiedBy>
  <cp:lastPrinted>2018-06-24T18:06:56Z</cp:lastPrinted>
  <dcterms:created xsi:type="dcterms:W3CDTF">2017-12-13T17:40:36Z</dcterms:created>
  <dcterms:modified xsi:type="dcterms:W3CDTF">2019-01-11T16:19:21Z</dcterms:modified>
</cp:coreProperties>
</file>